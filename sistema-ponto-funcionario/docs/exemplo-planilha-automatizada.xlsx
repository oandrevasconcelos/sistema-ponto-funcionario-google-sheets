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onto" sheetId="1" r:id="rId5"/>
    <sheet state="visible" name="Interação" sheetId="2" r:id="rId6"/>
    <sheet state="visible" name="funcionario" sheetId="3" r:id="rId7"/>
    <sheet state="visible" name="Calendário" sheetId="4" r:id="rId8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tc={4c40d24c-54ea-408b-aa79-af436e58b34e}</author>
  </authors>
  <commentList>
    <comment authorId="0" xr:uid="{4c40d24c-54ea-408b-aa79-af436e58b34e}" ref="K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Antes ou depois do dia 26.
</t>
      </text>
    </comment>
  </commentList>
</comments>
</file>

<file path=xl/sharedStrings.xml><?xml version="1.0" encoding="utf-8"?>
<sst xmlns="http://schemas.openxmlformats.org/spreadsheetml/2006/main" count="95" uniqueCount="75">
  <si>
    <r>
      <rPr>
        <rFont val="Comfortaa"/>
        <b/>
        <color rgb="FF999999"/>
        <sz val="25.0"/>
      </rPr>
      <t xml:space="preserve">PONTO </t>
    </r>
    <r>
      <rPr>
        <rFont val="Comfortaa"/>
        <b/>
        <color rgb="FF4A86E8"/>
        <sz val="25.0"/>
      </rPr>
      <t>MAX</t>
    </r>
    <r>
      <rPr>
        <rFont val="Comfortaa"/>
        <b/>
        <color rgb="FFF1C232"/>
        <sz val="25.0"/>
      </rPr>
      <t>CAST</t>
    </r>
  </si>
  <si>
    <t xml:space="preserve">Funcionário: </t>
  </si>
  <si>
    <t>DIA:</t>
  </si>
  <si>
    <t>ENTRADA</t>
  </si>
  <si>
    <t>ALMOÇO</t>
  </si>
  <si>
    <t>RETORNO</t>
  </si>
  <si>
    <t>SAÍDA</t>
  </si>
  <si>
    <t xml:space="preserve">Obs: </t>
  </si>
  <si>
    <t xml:space="preserve">FOLHA DE PONTO </t>
  </si>
  <si>
    <t>MAXCAST</t>
  </si>
  <si>
    <t>Periodo:</t>
  </si>
  <si>
    <t>À</t>
  </si>
  <si>
    <t>Dados do Funcionário:</t>
  </si>
  <si>
    <t>Nome Completo:</t>
  </si>
  <si>
    <t>Referência</t>
  </si>
  <si>
    <t>PIS:</t>
  </si>
  <si>
    <t>Entrada</t>
  </si>
  <si>
    <t>Almoço</t>
  </si>
  <si>
    <t>Volta</t>
  </si>
  <si>
    <t>Saída</t>
  </si>
  <si>
    <t>Dias</t>
  </si>
  <si>
    <t>Observações</t>
  </si>
  <si>
    <t>FOLHA DE PONTO</t>
  </si>
  <si>
    <t>MAX CAST</t>
  </si>
  <si>
    <t>Período:</t>
  </si>
  <si>
    <t>Dados do Funcionário</t>
  </si>
  <si>
    <t>Horas</t>
  </si>
  <si>
    <t>Nome:</t>
  </si>
  <si>
    <t>André de Castro Vasconcelos</t>
  </si>
  <si>
    <t>Extras</t>
  </si>
  <si>
    <t>Devedora</t>
  </si>
  <si>
    <t>Saldo</t>
  </si>
  <si>
    <t>Padrão sábados:</t>
  </si>
  <si>
    <t>Dias Trabalhados</t>
  </si>
  <si>
    <t>Horário</t>
  </si>
  <si>
    <t>Trabalhados</t>
  </si>
  <si>
    <t>Uteis</t>
  </si>
  <si>
    <t>Sábados</t>
  </si>
  <si>
    <t>Feriados</t>
  </si>
  <si>
    <t>Semana</t>
  </si>
  <si>
    <t>Sábado</t>
  </si>
  <si>
    <t>Calendário</t>
  </si>
  <si>
    <t>Registro de Entrada e Saída</t>
  </si>
  <si>
    <t>Total de Horas</t>
  </si>
  <si>
    <t>dia</t>
  </si>
  <si>
    <t>Folgas</t>
  </si>
  <si>
    <t>Trabalhadas</t>
  </si>
  <si>
    <t>Observação</t>
  </si>
  <si>
    <t>Período Atual</t>
  </si>
  <si>
    <t>Automatização dos meses</t>
  </si>
  <si>
    <t>MÊS</t>
  </si>
  <si>
    <t>HOJE</t>
  </si>
  <si>
    <t>PERÍODO</t>
  </si>
  <si>
    <t>ANO</t>
  </si>
  <si>
    <t xml:space="preserve">Dia </t>
  </si>
  <si>
    <t>Folga da Semana</t>
  </si>
  <si>
    <t>Datas</t>
  </si>
  <si>
    <t>Ano Novo</t>
  </si>
  <si>
    <t>janeiro</t>
  </si>
  <si>
    <t>Independência</t>
  </si>
  <si>
    <t>fevereiro</t>
  </si>
  <si>
    <t>Finados</t>
  </si>
  <si>
    <t>março</t>
  </si>
  <si>
    <t>Proclamação da República</t>
  </si>
  <si>
    <t>abril</t>
  </si>
  <si>
    <t>Natal</t>
  </si>
  <si>
    <t>maio</t>
  </si>
  <si>
    <t>Feriado</t>
  </si>
  <si>
    <t>junho</t>
  </si>
  <si>
    <t>julho</t>
  </si>
  <si>
    <t>agosto</t>
  </si>
  <si>
    <t>setembro</t>
  </si>
  <si>
    <t>outubro</t>
  </si>
  <si>
    <t>novembro</t>
  </si>
  <si>
    <t>dezembro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</si>
</sst>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1">
    <numFmt numFmtId="164" formatCode="dd/mm/yyyy"/>
    <numFmt numFmtId="165" formatCode="&quot; &quot;hh&quot;:&quot;mm"/>
    <numFmt numFmtId="166" formatCode="dd/MM/yyyy"/>
    <numFmt numFmtId="167" formatCode="dddd"/>
    <numFmt numFmtId="168" formatCode="mmmm&quot; de &quot;yyyy"/>
    <numFmt numFmtId="169" formatCode="hh:mm"/>
    <numFmt numFmtId="170" formatCode="HH:mm:ss"/>
    <numFmt numFmtId="171" formatCode="dd"/>
    <numFmt numFmtId="172" formatCode="ddd"/>
    <numFmt numFmtId="173" formatCode="hh&quot;:&quot;mm"/>
    <numFmt numFmtId="174" formatCode="d/m/yyyy"/>
  </numFmts>
  <fonts count="45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Roboto"/>
    </font>
    <font>
      <b/>
      <sz val="25.0"/>
      <color rgb="FF999999"/>
      <name val="Comfortaa"/>
    </font>
    <font/>
    <font>
      <color theme="1"/>
      <name val="Comfortaa"/>
    </font>
    <font>
      <sz val="10.0"/>
      <color theme="1"/>
      <name val="Comfortaa"/>
    </font>
    <font>
      <sz val="14.0"/>
      <color theme="1"/>
      <name val="Comfortaa"/>
    </font>
    <font>
      <b/>
      <sz val="14.0"/>
      <color theme="1"/>
      <name val="Comfortaa"/>
    </font>
    <font>
      <b/>
      <sz val="12.0"/>
      <color rgb="FFFFFFFF"/>
      <name val="Comfortaa"/>
    </font>
    <font>
      <sz val="8.0"/>
      <color rgb="FF000000"/>
      <name val="Comfortaa"/>
    </font>
    <font>
      <color rgb="FFFFFFFF"/>
      <name val="Comfortaa"/>
    </font>
    <font>
      <b/>
      <sz val="10.0"/>
      <color theme="1"/>
      <name val="Comfortaa"/>
    </font>
    <font>
      <b/>
      <sz val="12.0"/>
      <color theme="1"/>
      <name val="Comfortaa"/>
    </font>
    <font>
      <color rgb="FFFFFFFF"/>
      <name val="Arial"/>
      <scheme val="minor"/>
    </font>
    <font>
      <color rgb="FF000000"/>
      <name val="Arial"/>
      <scheme val="minor"/>
    </font>
    <font>
      <sz val="12.0"/>
      <color theme="1"/>
      <name val="Google Sans"/>
    </font>
    <font>
      <color theme="1"/>
      <name val="Google Sans"/>
    </font>
    <font>
      <b/>
      <sz val="24.0"/>
      <color rgb="FFFFFFFF"/>
      <name val="Google Sans"/>
    </font>
    <font>
      <b/>
      <sz val="14.0"/>
      <color rgb="FFFFFFFF"/>
      <name val="Google Sans"/>
    </font>
    <font>
      <b/>
      <sz val="16.0"/>
      <color rgb="FFFFFFFF"/>
      <name val="Google Sans"/>
    </font>
    <font>
      <b/>
      <sz val="12.0"/>
      <color theme="0"/>
      <name val="Google Sans"/>
    </font>
    <font>
      <sz val="12.0"/>
      <color rgb="FF000000"/>
      <name val="Google Sans"/>
    </font>
    <font>
      <b/>
      <sz val="12.0"/>
      <color rgb="FF434343"/>
      <name val="Google Sans"/>
    </font>
    <font>
      <b/>
      <sz val="12.0"/>
      <color rgb="FFFFFFFF"/>
      <name val="Google Sans"/>
    </font>
    <font>
      <b/>
      <sz val="12.0"/>
      <color theme="5"/>
      <name val="Google Sans"/>
    </font>
    <font>
      <sz val="12.0"/>
      <color rgb="FF434343"/>
      <name val="Google Sans"/>
    </font>
    <font>
      <b/>
      <sz val="12.0"/>
      <color rgb="FFEA4335"/>
      <name val="Google Sans"/>
    </font>
    <font>
      <b/>
      <sz val="12.0"/>
      <color rgb="FF000000"/>
      <name val="Google Sans"/>
    </font>
    <font>
      <b/>
      <sz val="50.0"/>
      <color rgb="FFFFFFFF"/>
      <name val="Google Sans"/>
    </font>
    <font>
      <b/>
      <sz val="25.0"/>
      <color rgb="FFFFFFFF"/>
      <name val="Google Sans"/>
    </font>
    <font>
      <color rgb="FFFFFFFF"/>
      <name val="Google Sans"/>
    </font>
    <font>
      <sz val="11.0"/>
      <color rgb="FFFFFFFF"/>
      <name val="Google Sans"/>
    </font>
    <font>
      <i/>
      <sz val="5.0"/>
      <color rgb="FFFFFFFF"/>
      <name val="Google Sans"/>
    </font>
    <font>
      <color rgb="FF000000"/>
      <name val="Google Sans"/>
    </font>
    <font>
      <b/>
      <sz val="25.0"/>
      <color rgb="FF4285F4"/>
      <name val="Google Sans"/>
    </font>
    <font>
      <b/>
      <sz val="25.0"/>
      <color rgb="FFEA4335"/>
      <name val="Google Sans"/>
    </font>
    <font>
      <b/>
      <sz val="12.0"/>
      <color rgb="FF34A853"/>
      <name val="Google Sans"/>
    </font>
    <font>
      <b/>
      <sz val="25.0"/>
      <color rgb="FF434343"/>
      <name val="Google Sans"/>
    </font>
    <font>
      <sz val="12.0"/>
      <color rgb="FF34A853"/>
      <name val="Google Sans"/>
    </font>
    <font>
      <b/>
      <sz val="12.0"/>
      <color theme="1"/>
      <name val="Google Sans"/>
    </font>
    <font>
      <b/>
      <sz val="12.0"/>
      <color rgb="FFFFFFFF"/>
      <name val="Arial"/>
      <scheme val="minor"/>
    </font>
    <font>
      <b/>
      <color rgb="FFFFFFFF"/>
      <name val="Google Sans"/>
    </font>
    <font>
      <sz val="12.0"/>
      <color rgb="FF434343"/>
      <name val="Arial"/>
      <scheme val="minor"/>
    </font>
    <font>
      <sz val="12.0"/>
      <color theme="1"/>
      <name val="Arial"/>
      <scheme val="minor"/>
    </font>
  </fonts>
  <fills count="7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6FA8DC"/>
        <bgColor rgb="FF6FA8DC"/>
      </patternFill>
    </fill>
    <fill>
      <patternFill patternType="solid">
        <fgColor rgb="FFEA4335"/>
        <bgColor rgb="FFEA4335"/>
      </patternFill>
    </fill>
    <fill>
      <patternFill patternType="solid">
        <fgColor rgb="FFF3F3F3"/>
        <bgColor rgb="FFF3F3F3"/>
      </patternFill>
    </fill>
    <fill>
      <patternFill patternType="solid">
        <fgColor rgb="FF38761D"/>
        <bgColor rgb="FF38761D"/>
      </patternFill>
    </fill>
  </fills>
  <borders count="78">
    <border/>
    <border>
      <left style="medium">
        <color rgb="FFFFFFFF"/>
      </left>
      <top style="medium">
        <color rgb="FFFFFFFF"/>
      </top>
      <bottom style="medium">
        <color rgb="FFFFFFFF"/>
      </bottom>
    </border>
    <border>
      <left style="medium">
        <color rgb="FFFFFFFF"/>
      </left>
      <right style="medium">
        <color rgb="FFFFFFFF"/>
      </right>
      <top style="medium">
        <color rgb="FFFFFFFF"/>
      </top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</border>
    <border>
      <right style="medium">
        <color rgb="FFFFFFFF"/>
      </right>
      <top style="medium">
        <color rgb="FFFFFFFF"/>
      </top>
      <bottom style="medium">
        <color rgb="FFFFFFFF"/>
      </bottom>
    </border>
    <border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medium">
        <color rgb="FFFFFFFF"/>
      </left>
      <top style="medium">
        <color rgb="FFFFFFFF"/>
      </top>
    </border>
    <border>
      <left style="medium">
        <color rgb="FF999999"/>
      </left>
      <top style="medium">
        <color rgb="FF999999"/>
      </top>
      <bottom style="medium">
        <color rgb="FFFFFFFF"/>
      </bottom>
    </border>
    <border>
      <left style="thick">
        <color rgb="FFB7B7B7"/>
      </left>
      <right style="medium">
        <color rgb="FFFFFFFF"/>
      </right>
      <top style="thick">
        <color rgb="FFB7B7B7"/>
      </top>
      <bottom style="medium">
        <color rgb="FFFFFFFF"/>
      </bottom>
    </border>
    <border>
      <left style="medium">
        <color rgb="FFFFFFFF"/>
      </left>
      <right style="medium">
        <color rgb="FFFFFFFF"/>
      </right>
      <top style="thick">
        <color rgb="FFB7B7B7"/>
      </top>
    </border>
    <border>
      <left style="medium">
        <color rgb="FFFFFFFF"/>
      </left>
      <right style="thick">
        <color rgb="FFB7B7B7"/>
      </right>
      <top style="thick">
        <color rgb="FFB7B7B7"/>
      </top>
      <bottom style="medium">
        <color rgb="FFFFFFFF"/>
      </bottom>
    </border>
    <border>
      <right style="medium">
        <color rgb="FFFFFFFF"/>
      </right>
      <top style="medium">
        <color rgb="FFFFFFFF"/>
      </top>
    </border>
    <border>
      <right style="thin">
        <color rgb="FFFFFFFF"/>
      </right>
      <top style="thin">
        <color rgb="FFFFFFFF"/>
      </top>
    </border>
    <border>
      <left style="thin">
        <color rgb="FFFFFFFF"/>
      </left>
      <right style="thin">
        <color rgb="FFFFFFFF"/>
      </right>
      <top style="thin">
        <color rgb="FFFFFFFF"/>
      </top>
    </border>
    <border>
      <left style="medium">
        <color rgb="FF999999"/>
      </left>
      <top style="medium">
        <color rgb="FFFFFFFF"/>
      </top>
      <bottom style="medium">
        <color rgb="FFFFFFFF"/>
      </bottom>
    </border>
    <border>
      <left style="thick">
        <color rgb="FFB7B7B7"/>
      </left>
      <top style="medium">
        <color rgb="FFFFFFFF"/>
      </top>
      <bottom style="medium">
        <color rgb="FFFFFFFF"/>
      </bottom>
    </border>
    <border>
      <left style="thick">
        <color rgb="FFFFFFFF"/>
      </left>
      <top style="thick">
        <color rgb="FFFFFFFF"/>
      </top>
      <bottom style="thick">
        <color rgb="FFFFFFFF"/>
      </bottom>
    </border>
    <border>
      <top style="thick">
        <color rgb="FFFFFFFF"/>
      </top>
      <bottom style="thick">
        <color rgb="FFFFFFFF"/>
      </bottom>
    </border>
    <border>
      <right style="thick">
        <color rgb="FFFFFFFF"/>
      </right>
      <top style="thick">
        <color rgb="FFFFFFFF"/>
      </top>
      <bottom style="thick">
        <color rgb="FFFFFFFF"/>
      </bottom>
    </border>
    <border>
      <right style="thick">
        <color rgb="FFB7B7B7"/>
      </right>
      <top style="medium">
        <color rgb="FFFFFFFF"/>
      </top>
      <bottom style="medium">
        <color rgb="FFFFFFFF"/>
      </bottom>
    </border>
    <border>
      <left style="medium">
        <color rgb="FFFFFFFF"/>
      </left>
      <bottom style="medium">
        <color rgb="FFFFFFFF"/>
      </bottom>
    </border>
    <border>
      <left style="thick">
        <color rgb="FFB7B7B7"/>
      </left>
      <right style="medium">
        <color rgb="FFFFFFFF"/>
      </right>
      <top style="medium">
        <color rgb="FFFFFFFF"/>
      </top>
      <bottom style="medium">
        <color rgb="FFFFFFFF"/>
      </bottom>
    </border>
    <border>
      <left style="medium">
        <color rgb="FFFFFFFF"/>
      </left>
      <right style="medium">
        <color rgb="FFFFFFFF"/>
      </right>
      <bottom style="medium">
        <color rgb="FFFFFFFF"/>
      </bottom>
    </border>
    <border>
      <right style="medium">
        <color rgb="FFFFFFFF"/>
      </right>
      <bottom style="medium">
        <color rgb="FFFFFFFF"/>
      </bottom>
    </border>
    <border>
      <left style="medium">
        <color rgb="FFFFFFFF"/>
      </left>
      <right style="thick">
        <color rgb="FFB7B7B7"/>
      </right>
      <top style="medium">
        <color rgb="FFFFFFFF"/>
      </top>
      <bottom style="medium">
        <color rgb="FFFFFFFF"/>
      </bottom>
    </border>
    <border>
      <right style="thin">
        <color rgb="FFFFFFFF"/>
      </right>
      <bottom style="thin">
        <color rgb="FFFFFFFF"/>
      </bottom>
    </border>
    <border>
      <left style="thin">
        <color rgb="FFFFFFFF"/>
      </left>
      <right style="thin">
        <color rgb="FFFFFFFF"/>
      </right>
      <bottom style="thin">
        <color rgb="FFFFFFFF"/>
      </bottom>
    </border>
    <border>
      <top style="medium">
        <color rgb="FFFFFFFF"/>
      </top>
      <bottom style="medium">
        <color rgb="FFFFFFFF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999999"/>
      </left>
      <top style="medium">
        <color rgb="FFFFFFFF"/>
      </top>
      <bottom style="medium">
        <color rgb="FF999999"/>
      </bottom>
    </border>
    <border>
      <left style="thick">
        <color rgb="FFB7B7B7"/>
      </left>
      <right style="medium">
        <color rgb="FFFFFFFF"/>
      </right>
      <top style="medium">
        <color rgb="FFFFFFFF"/>
      </top>
      <bottom style="thick">
        <color rgb="FFB7B7B7"/>
      </bottom>
    </border>
    <border>
      <left style="medium">
        <color rgb="FFFFFFFF"/>
      </left>
      <right style="medium">
        <color rgb="FFFFFFFF"/>
      </right>
      <bottom style="thick">
        <color rgb="FFB7B7B7"/>
      </bottom>
    </border>
    <border>
      <left style="medium">
        <color rgb="FFFFFFFF"/>
      </left>
      <right style="thick">
        <color rgb="FFB7B7B7"/>
      </right>
      <top style="medium">
        <color rgb="FFFFFFFF"/>
      </top>
      <bottom style="thick">
        <color rgb="FFB7B7B7"/>
      </bottom>
    </border>
    <border>
      <left style="thick">
        <color rgb="FFFFFFFF"/>
      </left>
    </border>
    <border>
      <right style="thick">
        <color rgb="FFFFFFFF"/>
      </right>
    </border>
    <border>
      <left style="thick">
        <color rgb="FF999999"/>
      </left>
      <right style="thick">
        <color rgb="FFFFFFFF"/>
      </right>
      <top style="thick">
        <color rgb="FF999999"/>
      </top>
      <bottom style="thick">
        <color rgb="FFFFFFFF"/>
      </bottom>
    </border>
    <border>
      <left style="thick">
        <color rgb="FFFFFFFF"/>
      </left>
      <top style="thick">
        <color rgb="FF999999"/>
      </top>
    </border>
    <border>
      <top style="thick">
        <color rgb="FF999999"/>
      </top>
    </border>
    <border>
      <right style="thick">
        <color rgb="FF999999"/>
      </right>
      <top style="thick">
        <color rgb="FF999999"/>
      </top>
    </border>
    <border>
      <left style="thick">
        <color rgb="FF999999"/>
      </left>
      <right style="thick">
        <color rgb="FFFFFFFF"/>
      </right>
      <top style="thick">
        <color rgb="FFFFFFFF"/>
      </top>
      <bottom style="thick">
        <color rgb="FFFFFFFF"/>
      </bottom>
    </border>
    <border>
      <right style="thick">
        <color rgb="FF999999"/>
      </right>
    </border>
    <border>
      <left style="thin">
        <color rgb="FFFFFFFF"/>
      </left>
      <bottom style="thin">
        <color rgb="FFFFFFFF"/>
      </bottom>
    </border>
    <border>
      <left style="thin">
        <color rgb="FFFFFFFF"/>
      </left>
      <top style="thin">
        <color rgb="FFFFFFFF"/>
      </top>
      <bottom style="thin">
        <color rgb="FFFFFFFF"/>
      </bottom>
    </border>
    <border>
      <left style="thick">
        <color rgb="FF999999"/>
      </left>
      <right style="thick">
        <color rgb="FFFFFFFF"/>
      </right>
      <top style="thick">
        <color rgb="FFFFFFFF"/>
      </top>
      <bottom style="thick">
        <color rgb="FF999999"/>
      </bottom>
    </border>
    <border>
      <left style="thick">
        <color rgb="FFFFFFFF"/>
      </left>
      <bottom style="thick">
        <color rgb="FF999999"/>
      </bottom>
    </border>
    <border>
      <bottom style="thick">
        <color rgb="FF999999"/>
      </bottom>
    </border>
    <border>
      <right style="thick">
        <color rgb="FF999999"/>
      </right>
      <bottom style="thick">
        <color rgb="FF999999"/>
      </bottom>
    </border>
    <border>
      <bottom style="thin">
        <color rgb="FF3D85C6"/>
      </bottom>
    </border>
    <border>
      <right style="thin">
        <color rgb="FF3D85C6"/>
      </right>
    </border>
    <border>
      <left style="thin">
        <color rgb="FF4285F4"/>
      </left>
      <top style="thin">
        <color rgb="FF4285F4"/>
      </top>
      <bottom style="thin">
        <color rgb="FF4285F4"/>
      </bottom>
    </border>
    <border>
      <top style="thin">
        <color rgb="FF4285F4"/>
      </top>
      <bottom style="thin">
        <color rgb="FF4285F4"/>
      </bottom>
    </border>
    <border>
      <right style="thin">
        <color rgb="FF4285F4"/>
      </right>
      <top style="thin">
        <color rgb="FF4285F4"/>
      </top>
      <bottom style="thin">
        <color rgb="FF4285F4"/>
      </bottom>
    </border>
    <border>
      <top style="thin">
        <color rgb="FF4285F4"/>
      </top>
    </border>
    <border>
      <bottom style="thin">
        <color rgb="FF4285F4"/>
      </bottom>
    </border>
    <border>
      <left style="thin">
        <color rgb="FF3D85C6"/>
      </left>
      <right style="thin">
        <color rgb="FF3D85C6"/>
      </right>
      <bottom style="thin">
        <color rgb="FF3D85C6"/>
      </bottom>
    </border>
    <border>
      <left style="thin">
        <color rgb="FF3D85C6"/>
      </left>
      <bottom style="thin">
        <color rgb="FF3D85C6"/>
      </bottom>
    </border>
    <border>
      <left style="thin">
        <color rgb="FF6FA8DC"/>
      </left>
      <right style="thin">
        <color rgb="FF6FA8DC"/>
      </right>
      <bottom style="thin">
        <color rgb="FF6FA8DC"/>
      </bottom>
    </border>
    <border>
      <right style="thin">
        <color rgb="FF3D85C6"/>
      </right>
      <bottom style="thin">
        <color rgb="FF3D85C6"/>
      </bottom>
    </border>
    <border>
      <left style="thin">
        <color rgb="FF3D85C6"/>
      </left>
      <right style="thin">
        <color rgb="FF3D85C6"/>
      </right>
      <top style="thin">
        <color rgb="FF3D85C6"/>
      </top>
      <bottom style="thin">
        <color rgb="FF3D85C6"/>
      </bottom>
    </border>
    <border>
      <right style="thin">
        <color rgb="FF4285F4"/>
      </right>
    </border>
    <border>
      <left style="thin">
        <color rgb="FF3D85C6"/>
      </left>
      <top style="thin">
        <color rgb="FF3D85C6"/>
      </top>
      <bottom style="thin">
        <color rgb="FF3D85C6"/>
      </bottom>
    </border>
    <border>
      <top style="thin">
        <color rgb="FF3D85C6"/>
      </top>
      <bottom style="thin">
        <color rgb="FF3D85C6"/>
      </bottom>
    </border>
    <border>
      <right style="thin">
        <color rgb="FF3D85C6"/>
      </right>
      <top style="thin">
        <color rgb="FF3D85C6"/>
      </top>
      <bottom style="thin">
        <color rgb="FF3D85C6"/>
      </bottom>
    </border>
    <border>
      <left style="thin">
        <color rgb="FF4285F4"/>
      </left>
      <right style="thin">
        <color rgb="FF4285F4"/>
      </right>
      <top style="thin">
        <color rgb="FF4285F4"/>
      </top>
      <bottom style="thin">
        <color rgb="FF4285F4"/>
      </bottom>
    </border>
    <border>
      <left style="thin">
        <color rgb="FF4285F4"/>
      </left>
    </border>
    <border>
      <right style="thin">
        <color rgb="FF6FA8DC"/>
      </right>
    </border>
    <border>
      <top style="thin">
        <color rgb="FF6FA8DC"/>
      </top>
    </border>
    <border>
      <right style="thin">
        <color rgb="FF6FA8DC"/>
      </right>
      <top style="thin">
        <color rgb="FF6FA8DC"/>
      </top>
    </border>
    <border>
      <left style="thin">
        <color rgb="FF4285F4"/>
      </left>
      <top style="thin">
        <color rgb="FF4285F4"/>
      </top>
    </border>
    <border>
      <right style="thin">
        <color rgb="FF4285F4"/>
      </right>
      <top style="thin">
        <color rgb="FF4285F4"/>
      </top>
    </border>
    <border>
      <left style="thin">
        <color rgb="FF4285F4"/>
      </left>
      <right style="thin">
        <color rgb="FF4285F4"/>
      </right>
      <bottom style="thin">
        <color rgb="FF4285F4"/>
      </bottom>
    </border>
    <border>
      <left style="thin">
        <color rgb="FF4285F4"/>
      </left>
      <right style="thin">
        <color rgb="FF4285F4"/>
      </right>
      <top style="thin">
        <color rgb="FF4285F4"/>
      </top>
    </border>
    <border>
      <left style="thin">
        <color rgb="FF6FA8DC"/>
      </left>
      <bottom style="thin">
        <color rgb="FF6FA8DC"/>
      </bottom>
    </border>
    <border>
      <left style="thin">
        <color rgb="FF6D9EEB"/>
      </left>
      <right style="thin">
        <color rgb="FF6D9EEB"/>
      </right>
      <top style="thin">
        <color rgb="FF6D9EEB"/>
      </top>
      <bottom style="thin">
        <color rgb="FF6D9EEB"/>
      </bottom>
    </border>
    <border>
      <right style="thin">
        <color rgb="FF6FA8DC"/>
      </right>
      <bottom style="thin">
        <color rgb="FF6FA8DC"/>
      </bottom>
    </border>
    <border>
      <left style="thin">
        <color rgb="FF6FA8DC"/>
      </left>
      <right style="thin">
        <color rgb="FF6FA8DC"/>
      </right>
      <top style="thin">
        <color rgb="FF6FA8DC"/>
      </top>
      <bottom style="thin">
        <color rgb="FF6FA8DC"/>
      </bottom>
    </border>
    <border>
      <bottom style="thin">
        <color rgb="FF6FA8DC"/>
      </bottom>
    </border>
  </borders>
  <cellStyleXfs count="1">
    <xf borderId="0" fillId="0" fontId="0" numFmtId="0" applyAlignment="1" applyFont="1"/>
  </cellStyleXfs>
  <cellXfs count="267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/>
    </xf>
    <xf borderId="2" fillId="0" fontId="1" numFmtId="0" xfId="0" applyBorder="1" applyFont="1"/>
    <xf borderId="3" fillId="0" fontId="1" numFmtId="0" xfId="0" applyBorder="1" applyFont="1"/>
    <xf borderId="4" fillId="0" fontId="1" numFmtId="0" xfId="0" applyBorder="1" applyFont="1"/>
    <xf borderId="5" fillId="0" fontId="1" numFmtId="0" xfId="0" applyBorder="1" applyFont="1"/>
    <xf borderId="6" fillId="0" fontId="1" numFmtId="0" xfId="0" applyBorder="1" applyFont="1"/>
    <xf borderId="7" fillId="0" fontId="1" numFmtId="0" xfId="0" applyBorder="1" applyFont="1"/>
    <xf borderId="8" fillId="0" fontId="1" numFmtId="0" xfId="0" applyBorder="1" applyFont="1"/>
    <xf borderId="9" fillId="0" fontId="1" numFmtId="0" xfId="0" applyBorder="1" applyFont="1"/>
    <xf borderId="10" fillId="0" fontId="1" numFmtId="0" xfId="0" applyBorder="1" applyFont="1"/>
    <xf borderId="11" fillId="0" fontId="1" numFmtId="0" xfId="0" applyBorder="1" applyFont="1"/>
    <xf borderId="12" fillId="0" fontId="1" numFmtId="0" xfId="0" applyBorder="1" applyFont="1"/>
    <xf borderId="13" fillId="0" fontId="1" numFmtId="0" xfId="0" applyBorder="1" applyFont="1"/>
    <xf borderId="14" fillId="0" fontId="1" numFmtId="0" xfId="0" applyBorder="1" applyFont="1"/>
    <xf borderId="1" fillId="2" fontId="1" numFmtId="0" xfId="0" applyBorder="1" applyFill="1" applyFont="1"/>
    <xf borderId="15" fillId="2" fontId="2" numFmtId="0" xfId="0" applyBorder="1" applyFont="1"/>
    <xf borderId="16" fillId="2" fontId="3" numFmtId="0" xfId="0" applyAlignment="1" applyBorder="1" applyFont="1">
      <alignment horizontal="center" readingOrder="0"/>
    </xf>
    <xf borderId="17" fillId="2" fontId="3" numFmtId="0" xfId="0" applyAlignment="1" applyBorder="1" applyFont="1">
      <alignment horizontal="center" readingOrder="0"/>
    </xf>
    <xf borderId="18" fillId="0" fontId="4" numFmtId="0" xfId="0" applyBorder="1" applyFont="1"/>
    <xf borderId="19" fillId="0" fontId="4" numFmtId="0" xfId="0" applyBorder="1" applyFont="1"/>
    <xf borderId="20" fillId="2" fontId="3" numFmtId="0" xfId="0" applyAlignment="1" applyBorder="1" applyFont="1">
      <alignment horizontal="center" readingOrder="0"/>
    </xf>
    <xf borderId="4" fillId="2" fontId="2" numFmtId="0" xfId="0" applyBorder="1" applyFont="1"/>
    <xf borderId="4" fillId="2" fontId="1" numFmtId="0" xfId="0" applyBorder="1" applyFont="1"/>
    <xf borderId="3" fillId="2" fontId="1" numFmtId="0" xfId="0" applyBorder="1" applyFont="1"/>
    <xf borderId="21" fillId="0" fontId="1" numFmtId="0" xfId="0" applyBorder="1" applyFont="1"/>
    <xf borderId="15" fillId="0" fontId="2" numFmtId="0" xfId="0" applyBorder="1" applyFont="1"/>
    <xf borderId="22" fillId="0" fontId="5" numFmtId="0" xfId="0" applyBorder="1" applyFont="1"/>
    <xf borderId="23" fillId="0" fontId="5" numFmtId="0" xfId="0" applyBorder="1" applyFont="1"/>
    <xf borderId="21" fillId="0" fontId="6" numFmtId="0" xfId="0" applyAlignment="1" applyBorder="1" applyFont="1">
      <alignment horizontal="center" readingOrder="0"/>
    </xf>
    <xf borderId="24" fillId="0" fontId="4" numFmtId="0" xfId="0" applyBorder="1" applyFont="1"/>
    <xf borderId="25" fillId="0" fontId="5" numFmtId="0" xfId="0" applyBorder="1" applyFont="1"/>
    <xf borderId="4" fillId="0" fontId="2" numFmtId="0" xfId="0" applyBorder="1" applyFont="1"/>
    <xf borderId="24" fillId="0" fontId="1" numFmtId="0" xfId="0" applyBorder="1" applyFont="1"/>
    <xf borderId="26" fillId="0" fontId="1" numFmtId="0" xfId="0" applyBorder="1" applyFont="1"/>
    <xf borderId="27" fillId="0" fontId="1" numFmtId="0" xfId="0" applyBorder="1" applyFont="1"/>
    <xf borderId="1" fillId="0" fontId="1" numFmtId="0" xfId="0" applyBorder="1" applyFont="1"/>
    <xf borderId="22" fillId="0" fontId="6" numFmtId="0" xfId="0" applyAlignment="1" applyBorder="1" applyFont="1">
      <alignment readingOrder="0"/>
    </xf>
    <xf borderId="1" fillId="0" fontId="7" numFmtId="0" xfId="0" applyAlignment="1" applyBorder="1" applyFont="1">
      <alignment horizontal="center" readingOrder="0"/>
    </xf>
    <xf borderId="28" fillId="0" fontId="4" numFmtId="0" xfId="0" applyBorder="1" applyFont="1"/>
    <xf borderId="4" fillId="0" fontId="4" numFmtId="0" xfId="0" applyBorder="1" applyFont="1"/>
    <xf borderId="25" fillId="0" fontId="7" numFmtId="0" xfId="0" applyAlignment="1" applyBorder="1" applyFont="1">
      <alignment horizontal="left" readingOrder="0"/>
    </xf>
    <xf borderId="22" fillId="0" fontId="5" numFmtId="0" xfId="0" applyAlignment="1" applyBorder="1" applyFont="1">
      <alignment readingOrder="0"/>
    </xf>
    <xf borderId="3" fillId="0" fontId="5" numFmtId="0" xfId="0" applyBorder="1" applyFont="1"/>
    <xf borderId="1" fillId="0" fontId="8" numFmtId="0" xfId="0" applyAlignment="1" applyBorder="1" applyFont="1">
      <alignment horizontal="center" readingOrder="0"/>
    </xf>
    <xf borderId="1" fillId="0" fontId="8" numFmtId="164" xfId="0" applyAlignment="1" applyBorder="1" applyFont="1" applyNumberFormat="1">
      <alignment horizontal="center"/>
    </xf>
    <xf borderId="2" fillId="0" fontId="9" numFmtId="165" xfId="0" applyAlignment="1" applyBorder="1" applyFont="1" applyNumberFormat="1">
      <alignment horizontal="center"/>
    </xf>
    <xf borderId="16" fillId="0" fontId="5" numFmtId="0" xfId="0" applyBorder="1" applyFont="1"/>
    <xf borderId="29" fillId="0" fontId="10" numFmtId="0" xfId="0" applyAlignment="1" applyBorder="1" applyFont="1">
      <alignment horizontal="center" readingOrder="0"/>
    </xf>
    <xf borderId="20" fillId="0" fontId="5" numFmtId="0" xfId="0" applyBorder="1" applyFont="1"/>
    <xf borderId="16" fillId="0" fontId="11" numFmtId="166" xfId="0" applyBorder="1" applyFont="1" applyNumberFormat="1"/>
    <xf borderId="29" fillId="0" fontId="11" numFmtId="0" xfId="0" applyBorder="1" applyFont="1"/>
    <xf borderId="20" fillId="0" fontId="11" numFmtId="167" xfId="0" applyBorder="1" applyFont="1" applyNumberFormat="1"/>
    <xf borderId="29" fillId="0" fontId="12" numFmtId="0" xfId="0" applyAlignment="1" applyBorder="1" applyFont="1">
      <alignment horizontal="center" readingOrder="0" vertical="center"/>
    </xf>
    <xf borderId="30" fillId="0" fontId="2" numFmtId="0" xfId="0" applyBorder="1" applyFont="1"/>
    <xf borderId="31" fillId="0" fontId="5" numFmtId="0" xfId="0" applyBorder="1" applyFont="1"/>
    <xf borderId="32" fillId="0" fontId="5" numFmtId="0" xfId="0" applyAlignment="1" applyBorder="1" applyFont="1">
      <alignment readingOrder="0"/>
    </xf>
    <xf borderId="32" fillId="0" fontId="5" numFmtId="0" xfId="0" applyBorder="1" applyFont="1"/>
    <xf borderId="33" fillId="0" fontId="5" numFmtId="0" xfId="0" applyBorder="1" applyFont="1"/>
    <xf borderId="23" fillId="0" fontId="2" numFmtId="0" xfId="0" applyBorder="1" applyFont="1"/>
    <xf borderId="21" fillId="0" fontId="2" numFmtId="0" xfId="0" applyBorder="1" applyFont="1"/>
    <xf borderId="34" fillId="0" fontId="2" numFmtId="0" xfId="0" applyAlignment="1" applyBorder="1" applyFont="1">
      <alignment readingOrder="0" shrinkToFit="0" wrapText="1"/>
    </xf>
    <xf borderId="35" fillId="0" fontId="4" numFmtId="0" xfId="0" applyBorder="1" applyFont="1"/>
    <xf borderId="24" fillId="0" fontId="2" numFmtId="0" xfId="0" applyBorder="1" applyFont="1"/>
    <xf borderId="3" fillId="0" fontId="2" numFmtId="0" xfId="0" applyBorder="1" applyFont="1"/>
    <xf borderId="36" fillId="0" fontId="13" numFmtId="0" xfId="0" applyAlignment="1" applyBorder="1" applyFont="1">
      <alignment readingOrder="0"/>
    </xf>
    <xf borderId="37" fillId="0" fontId="5" numFmtId="0" xfId="0" applyAlignment="1" applyBorder="1" applyFont="1">
      <alignment horizontal="left" readingOrder="0" shrinkToFit="0" vertical="top" wrapText="1"/>
    </xf>
    <xf borderId="38" fillId="0" fontId="4" numFmtId="0" xfId="0" applyBorder="1" applyFont="1"/>
    <xf borderId="39" fillId="0" fontId="4" numFmtId="0" xfId="0" applyBorder="1" applyFont="1"/>
    <xf borderId="40" fillId="0" fontId="1" numFmtId="0" xfId="0" applyBorder="1" applyFont="1"/>
    <xf borderId="34" fillId="0" fontId="4" numFmtId="0" xfId="0" applyBorder="1" applyFont="1"/>
    <xf borderId="41" fillId="0" fontId="4" numFmtId="0" xfId="0" applyBorder="1" applyFont="1"/>
    <xf borderId="42" fillId="0" fontId="1" numFmtId="0" xfId="0" applyBorder="1" applyFont="1"/>
    <xf borderId="43" fillId="0" fontId="1" numFmtId="0" xfId="0" applyBorder="1" applyFont="1"/>
    <xf borderId="40" fillId="2" fontId="3" numFmtId="0" xfId="0" applyAlignment="1" applyBorder="1" applyFont="1">
      <alignment horizontal="center" readingOrder="0"/>
    </xf>
    <xf borderId="19" fillId="2" fontId="3" numFmtId="0" xfId="0" applyAlignment="1" applyBorder="1" applyFont="1">
      <alignment horizontal="center" readingOrder="0"/>
    </xf>
    <xf borderId="44" fillId="0" fontId="1" numFmtId="0" xfId="0" applyBorder="1" applyFont="1"/>
    <xf borderId="45" fillId="0" fontId="4" numFmtId="0" xfId="0" applyBorder="1" applyFont="1"/>
    <xf borderId="46" fillId="0" fontId="4" numFmtId="0" xfId="0" applyBorder="1" applyFont="1"/>
    <xf borderId="47" fillId="0" fontId="4" numFmtId="0" xfId="0" applyBorder="1" applyFont="1"/>
    <xf borderId="6" fillId="2" fontId="14" numFmtId="0" xfId="0" applyAlignment="1" applyBorder="1" applyFont="1">
      <alignment readingOrder="0"/>
    </xf>
    <xf borderId="6" fillId="0" fontId="15" numFmtId="0" xfId="0" applyBorder="1" applyFont="1"/>
    <xf borderId="0" fillId="0" fontId="16" numFmtId="0" xfId="0" applyAlignment="1" applyFont="1">
      <alignment readingOrder="0"/>
    </xf>
    <xf borderId="48" fillId="0" fontId="16" numFmtId="0" xfId="0" applyBorder="1" applyFont="1"/>
    <xf borderId="48" fillId="0" fontId="16" numFmtId="0" xfId="0" applyAlignment="1" applyBorder="1" applyFont="1">
      <alignment horizontal="center"/>
    </xf>
    <xf borderId="0" fillId="0" fontId="16" numFmtId="0" xfId="0" applyFont="1"/>
    <xf borderId="49" fillId="0" fontId="16" numFmtId="0" xfId="0" applyBorder="1" applyFont="1"/>
    <xf borderId="0" fillId="0" fontId="17" numFmtId="0" xfId="0" applyFont="1"/>
    <xf borderId="50" fillId="3" fontId="18" numFmtId="0" xfId="0" applyAlignment="1" applyBorder="1" applyFill="1" applyFont="1">
      <alignment horizontal="center" readingOrder="0" vertical="center"/>
    </xf>
    <xf borderId="51" fillId="0" fontId="4" numFmtId="0" xfId="0" applyBorder="1" applyFont="1"/>
    <xf borderId="52" fillId="0" fontId="4" numFmtId="0" xfId="0" applyBorder="1" applyFont="1"/>
    <xf borderId="53" fillId="3" fontId="19" numFmtId="168" xfId="0" applyAlignment="1" applyBorder="1" applyFont="1" applyNumberFormat="1">
      <alignment horizontal="center" readingOrder="0" vertical="center"/>
    </xf>
    <xf borderId="53" fillId="0" fontId="4" numFmtId="0" xfId="0" applyBorder="1" applyFont="1"/>
    <xf borderId="53" fillId="3" fontId="20" numFmtId="0" xfId="0" applyAlignment="1" applyBorder="1" applyFont="1">
      <alignment horizontal="center" readingOrder="0" vertical="center"/>
    </xf>
    <xf borderId="54" fillId="0" fontId="4" numFmtId="0" xfId="0" applyBorder="1" applyFont="1"/>
    <xf borderId="55" fillId="3" fontId="21" numFmtId="0" xfId="0" applyAlignment="1" applyBorder="1" applyFont="1">
      <alignment horizontal="right" readingOrder="0"/>
    </xf>
    <xf borderId="56" fillId="0" fontId="22" numFmtId="166" xfId="0" applyAlignment="1" applyBorder="1" applyFont="1" applyNumberFormat="1">
      <alignment horizontal="right" readingOrder="0"/>
    </xf>
    <xf borderId="57" fillId="0" fontId="22" numFmtId="0" xfId="0" applyAlignment="1" applyBorder="1" applyFont="1">
      <alignment horizontal="center" readingOrder="0"/>
    </xf>
    <xf borderId="58" fillId="0" fontId="22" numFmtId="166" xfId="0" applyAlignment="1" applyBorder="1" applyFont="1" applyNumberFormat="1">
      <alignment horizontal="center" readingOrder="0"/>
    </xf>
    <xf borderId="0" fillId="3" fontId="23" numFmtId="0" xfId="0" applyAlignment="1" applyFont="1">
      <alignment horizontal="center" readingOrder="0"/>
    </xf>
    <xf borderId="56" fillId="3" fontId="24" numFmtId="0" xfId="0" applyAlignment="1" applyBorder="1" applyFont="1">
      <alignment horizontal="center" readingOrder="0"/>
    </xf>
    <xf borderId="58" fillId="0" fontId="4" numFmtId="0" xfId="0" applyBorder="1" applyFont="1"/>
    <xf borderId="0" fillId="3" fontId="17" numFmtId="0" xfId="0" applyFont="1"/>
    <xf borderId="0" fillId="3" fontId="25" numFmtId="0" xfId="0" applyAlignment="1" applyFont="1">
      <alignment horizontal="right" readingOrder="0"/>
    </xf>
    <xf borderId="0" fillId="3" fontId="26" numFmtId="0" xfId="0" applyAlignment="1" applyFont="1">
      <alignment horizontal="center" readingOrder="0"/>
    </xf>
    <xf borderId="59" fillId="3" fontId="24" numFmtId="0" xfId="0" applyAlignment="1" applyBorder="1" applyFont="1">
      <alignment horizontal="right" readingOrder="0"/>
    </xf>
    <xf borderId="49" fillId="0" fontId="16" numFmtId="0" xfId="0" applyAlignment="1" applyBorder="1" applyFont="1">
      <alignment readingOrder="0"/>
    </xf>
    <xf borderId="60" fillId="0" fontId="16" numFmtId="0" xfId="0" applyBorder="1" applyFont="1"/>
    <xf borderId="61" fillId="3" fontId="24" numFmtId="0" xfId="0" applyAlignment="1" applyBorder="1" applyFont="1">
      <alignment horizontal="center" readingOrder="0"/>
    </xf>
    <xf borderId="62" fillId="0" fontId="4" numFmtId="0" xfId="0" applyBorder="1" applyFont="1"/>
    <xf borderId="63" fillId="0" fontId="4" numFmtId="0" xfId="0" applyBorder="1" applyFont="1"/>
    <xf borderId="59" fillId="0" fontId="22" numFmtId="0" xfId="0" applyAlignment="1" applyBorder="1" applyFont="1">
      <alignment horizontal="left" readingOrder="0"/>
    </xf>
    <xf borderId="59" fillId="3" fontId="24" numFmtId="0" xfId="0" applyAlignment="1" applyBorder="1" applyFont="1">
      <alignment horizontal="center" readingOrder="0"/>
    </xf>
    <xf borderId="64" fillId="3" fontId="24" numFmtId="0" xfId="0" applyAlignment="1" applyBorder="1" applyFont="1">
      <alignment horizontal="center" readingOrder="0"/>
    </xf>
    <xf borderId="65" fillId="3" fontId="27" numFmtId="0" xfId="0" applyAlignment="1" applyBorder="1" applyFont="1">
      <alignment horizontal="right" readingOrder="0"/>
    </xf>
    <xf borderId="0" fillId="3" fontId="26" numFmtId="0" xfId="0" applyAlignment="1" applyFont="1">
      <alignment horizontal="left"/>
    </xf>
    <xf borderId="59" fillId="0" fontId="26" numFmtId="169" xfId="0" applyAlignment="1" applyBorder="1" applyFont="1" applyNumberFormat="1">
      <alignment horizontal="center" readingOrder="0"/>
    </xf>
    <xf borderId="0" fillId="3" fontId="17" numFmtId="0" xfId="0" applyAlignment="1" applyFont="1">
      <alignment readingOrder="0"/>
    </xf>
    <xf borderId="65" fillId="3" fontId="17" numFmtId="0" xfId="0" applyBorder="1" applyFont="1"/>
    <xf borderId="0" fillId="3" fontId="17" numFmtId="0" xfId="0" applyAlignment="1" applyFont="1">
      <alignment horizontal="center"/>
    </xf>
    <xf borderId="0" fillId="3" fontId="16" numFmtId="0" xfId="0" applyAlignment="1" applyFont="1">
      <alignment horizontal="left"/>
    </xf>
    <xf borderId="65" fillId="3" fontId="16" numFmtId="4" xfId="0" applyBorder="1" applyFont="1" applyNumberFormat="1"/>
    <xf borderId="0" fillId="3" fontId="16" numFmtId="0" xfId="0" applyFont="1"/>
    <xf borderId="50" fillId="3" fontId="24" numFmtId="0" xfId="0" applyAlignment="1" applyBorder="1" applyFont="1">
      <alignment horizontal="left" readingOrder="0"/>
    </xf>
    <xf borderId="52" fillId="4" fontId="4" numFmtId="0" xfId="0" applyBorder="1" applyFill="1" applyFont="1"/>
    <xf borderId="49" fillId="2" fontId="28" numFmtId="164" xfId="0" applyAlignment="1" applyBorder="1" applyFont="1" applyNumberFormat="1">
      <alignment horizontal="left" readingOrder="0"/>
    </xf>
    <xf borderId="49" fillId="0" fontId="26" numFmtId="0" xfId="0" applyBorder="1" applyFont="1"/>
    <xf borderId="0" fillId="2" fontId="26" numFmtId="0" xfId="0" applyFont="1"/>
    <xf borderId="64" fillId="2" fontId="22" numFmtId="166" xfId="0" applyAlignment="1" applyBorder="1" applyFont="1" applyNumberFormat="1">
      <alignment horizontal="center" readingOrder="0"/>
    </xf>
    <xf borderId="64" fillId="2" fontId="22" numFmtId="0" xfId="0" applyAlignment="1" applyBorder="1" applyFont="1">
      <alignment horizontal="center" readingOrder="0"/>
    </xf>
    <xf borderId="50" fillId="2" fontId="22" numFmtId="0" xfId="0" applyAlignment="1" applyBorder="1" applyFont="1">
      <alignment horizontal="left" readingOrder="0"/>
    </xf>
    <xf borderId="52" fillId="2" fontId="4" numFmtId="0" xfId="0" applyBorder="1" applyFont="1"/>
    <xf borderId="49" fillId="2" fontId="22" numFmtId="165" xfId="0" applyAlignment="1" applyBorder="1" applyFont="1" applyNumberFormat="1">
      <alignment horizontal="left"/>
    </xf>
    <xf borderId="0" fillId="0" fontId="26" numFmtId="0" xfId="0" applyFont="1"/>
    <xf borderId="64" fillId="5" fontId="22" numFmtId="166" xfId="0" applyAlignment="1" applyBorder="1" applyFill="1" applyFont="1" applyNumberFormat="1">
      <alignment horizontal="center" readingOrder="0"/>
    </xf>
    <xf borderId="50" fillId="5" fontId="26" numFmtId="167" xfId="0" applyAlignment="1" applyBorder="1" applyFont="1" applyNumberFormat="1">
      <alignment horizontal="left"/>
    </xf>
    <xf borderId="52" fillId="5" fontId="4" numFmtId="0" xfId="0" applyBorder="1" applyFont="1"/>
    <xf borderId="49" fillId="2" fontId="22" numFmtId="0" xfId="0" applyAlignment="1" applyBorder="1" applyFont="1">
      <alignment horizontal="left"/>
    </xf>
    <xf borderId="50" fillId="2" fontId="26" numFmtId="167" xfId="0" applyAlignment="1" applyBorder="1" applyFont="1" applyNumberFormat="1">
      <alignment horizontal="left"/>
    </xf>
    <xf borderId="50" fillId="5" fontId="26" numFmtId="0" xfId="0" applyAlignment="1" applyBorder="1" applyFont="1">
      <alignment horizontal="left" readingOrder="0"/>
    </xf>
    <xf borderId="64" fillId="2" fontId="22" numFmtId="169" xfId="0" applyAlignment="1" applyBorder="1" applyFont="1" applyNumberFormat="1">
      <alignment horizontal="center" readingOrder="0"/>
    </xf>
    <xf borderId="50" fillId="2" fontId="26" numFmtId="0" xfId="0" applyAlignment="1" applyBorder="1" applyFont="1">
      <alignment horizontal="left" readingOrder="0"/>
    </xf>
    <xf borderId="55" fillId="3" fontId="26" numFmtId="0" xfId="0" applyAlignment="1" applyBorder="1" applyFont="1">
      <alignment horizontal="center" readingOrder="0"/>
    </xf>
    <xf borderId="55" fillId="3" fontId="26" numFmtId="0" xfId="0" applyAlignment="1" applyBorder="1" applyFont="1">
      <alignment horizontal="center"/>
    </xf>
    <xf borderId="55" fillId="3" fontId="26" numFmtId="0" xfId="0" applyBorder="1" applyFont="1"/>
    <xf borderId="56" fillId="3" fontId="26" numFmtId="0" xfId="0" applyBorder="1" applyFont="1"/>
    <xf borderId="58" fillId="4" fontId="4" numFmtId="0" xfId="0" applyBorder="1" applyFont="1"/>
    <xf borderId="49" fillId="2" fontId="26" numFmtId="0" xfId="0" applyBorder="1" applyFont="1"/>
    <xf borderId="0" fillId="0" fontId="26" numFmtId="0" xfId="0" applyAlignment="1" applyFont="1">
      <alignment horizontal="center" readingOrder="0"/>
    </xf>
    <xf borderId="0" fillId="0" fontId="26" numFmtId="0" xfId="0" applyAlignment="1" applyFont="1">
      <alignment horizontal="center"/>
    </xf>
    <xf borderId="0" fillId="0" fontId="26" numFmtId="0" xfId="0" applyAlignment="1" applyFont="1">
      <alignment readingOrder="0"/>
    </xf>
    <xf borderId="48" fillId="0" fontId="26" numFmtId="0" xfId="0" applyBorder="1" applyFont="1"/>
    <xf borderId="48" fillId="0" fontId="26" numFmtId="0" xfId="0" applyAlignment="1" applyBorder="1" applyFont="1">
      <alignment horizontal="center" readingOrder="0"/>
    </xf>
    <xf borderId="48" fillId="0" fontId="26" numFmtId="0" xfId="0" applyAlignment="1" applyBorder="1" applyFont="1">
      <alignment horizontal="center"/>
    </xf>
    <xf borderId="58" fillId="0" fontId="26" numFmtId="0" xfId="0" applyBorder="1" applyFont="1"/>
    <xf borderId="0" fillId="0" fontId="17" numFmtId="0" xfId="0" applyAlignment="1" applyFont="1">
      <alignment vertical="bottom"/>
    </xf>
    <xf borderId="66" fillId="0" fontId="17" numFmtId="0" xfId="0" applyAlignment="1" applyBorder="1" applyFont="1">
      <alignment vertical="bottom"/>
    </xf>
    <xf borderId="67" fillId="0" fontId="17" numFmtId="0" xfId="0" applyAlignment="1" applyBorder="1" applyFont="1">
      <alignment vertical="bottom"/>
    </xf>
    <xf borderId="68" fillId="0" fontId="17" numFmtId="0" xfId="0" applyAlignment="1" applyBorder="1" applyFont="1">
      <alignment vertical="bottom"/>
    </xf>
    <xf borderId="0" fillId="3" fontId="29" numFmtId="0" xfId="0" applyAlignment="1" applyFont="1">
      <alignment horizontal="center" readingOrder="0"/>
    </xf>
    <xf borderId="0" fillId="3" fontId="30" numFmtId="0" xfId="0" applyAlignment="1" applyFont="1">
      <alignment horizontal="center" readingOrder="0" vertical="center"/>
    </xf>
    <xf borderId="0" fillId="3" fontId="31" numFmtId="0" xfId="0" applyFont="1"/>
    <xf borderId="0" fillId="3" fontId="31" numFmtId="166" xfId="0" applyFont="1" applyNumberFormat="1"/>
    <xf borderId="64" fillId="3" fontId="24" numFmtId="0" xfId="0" applyAlignment="1" applyBorder="1" applyFont="1">
      <alignment horizontal="right"/>
    </xf>
    <xf borderId="64" fillId="2" fontId="22" numFmtId="166" xfId="0" applyAlignment="1" applyBorder="1" applyFont="1" applyNumberFormat="1">
      <alignment horizontal="right"/>
    </xf>
    <xf borderId="64" fillId="2" fontId="22" numFmtId="0" xfId="0" applyAlignment="1" applyBorder="1" applyFont="1">
      <alignment horizontal="center"/>
    </xf>
    <xf borderId="50" fillId="3" fontId="19" numFmtId="168" xfId="0" applyAlignment="1" applyBorder="1" applyFont="1" applyNumberFormat="1">
      <alignment horizontal="center" readingOrder="0"/>
    </xf>
    <xf borderId="0" fillId="3" fontId="31" numFmtId="168" xfId="0" applyFont="1" applyNumberFormat="1"/>
    <xf borderId="0" fillId="3" fontId="32" numFmtId="0" xfId="0" applyAlignment="1" applyFont="1">
      <alignment horizontal="center" shrinkToFit="0" wrapText="1"/>
    </xf>
    <xf borderId="0" fillId="3" fontId="33" numFmtId="0" xfId="0" applyAlignment="1" applyFont="1">
      <alignment readingOrder="0" shrinkToFit="0" wrapText="1"/>
    </xf>
    <xf borderId="69" fillId="3" fontId="24" numFmtId="0" xfId="0" applyAlignment="1" applyBorder="1" applyFont="1">
      <alignment horizontal="center" readingOrder="0"/>
    </xf>
    <xf borderId="70" fillId="0" fontId="4" numFmtId="0" xfId="0" applyBorder="1" applyFont="1"/>
    <xf borderId="50" fillId="3" fontId="24" numFmtId="0" xfId="0" applyAlignment="1" applyBorder="1" applyFont="1">
      <alignment horizontal="center" readingOrder="0"/>
    </xf>
    <xf borderId="50" fillId="3" fontId="24" numFmtId="0" xfId="0" applyAlignment="1" applyBorder="1" applyFont="1">
      <alignment horizontal="center"/>
    </xf>
    <xf borderId="64" fillId="2" fontId="22" numFmtId="0" xfId="0" applyAlignment="1" applyBorder="1" applyFont="1">
      <alignment readingOrder="0" vertical="bottom"/>
    </xf>
    <xf borderId="71" fillId="3" fontId="24" numFmtId="0" xfId="0" applyAlignment="1" applyBorder="1" applyFont="1">
      <alignment horizontal="center"/>
    </xf>
    <xf borderId="64" fillId="3" fontId="24" numFmtId="0" xfId="0" applyAlignment="1" applyBorder="1" applyFont="1">
      <alignment horizontal="right" readingOrder="0"/>
    </xf>
    <xf borderId="64" fillId="2" fontId="22" numFmtId="0" xfId="0" applyAlignment="1" applyBorder="1" applyFont="1">
      <alignment horizontal="left" readingOrder="0"/>
    </xf>
    <xf borderId="64" fillId="2" fontId="22" numFmtId="46" xfId="0" applyAlignment="1" applyBorder="1" applyFont="1" applyNumberFormat="1">
      <alignment horizontal="center" readingOrder="0"/>
    </xf>
    <xf borderId="64" fillId="2" fontId="22" numFmtId="170" xfId="0" applyAlignment="1" applyBorder="1" applyFont="1" applyNumberFormat="1">
      <alignment horizontal="center" readingOrder="0"/>
    </xf>
    <xf borderId="0" fillId="3" fontId="31" numFmtId="170" xfId="0" applyAlignment="1" applyFont="1" applyNumberFormat="1">
      <alignment readingOrder="0"/>
    </xf>
    <xf borderId="64" fillId="0" fontId="22" numFmtId="170" xfId="0" applyAlignment="1" applyBorder="1" applyFont="1" applyNumberFormat="1">
      <alignment horizontal="center" readingOrder="0"/>
    </xf>
    <xf borderId="64" fillId="2" fontId="22" numFmtId="46" xfId="0" applyAlignment="1" applyBorder="1" applyFont="1" applyNumberFormat="1">
      <alignment horizontal="center"/>
    </xf>
    <xf borderId="0" fillId="3" fontId="24" numFmtId="0" xfId="0" applyAlignment="1" applyFont="1">
      <alignment horizontal="center" readingOrder="0"/>
    </xf>
    <xf borderId="66" fillId="0" fontId="1" numFmtId="0" xfId="0" applyBorder="1" applyFont="1"/>
    <xf borderId="0" fillId="3" fontId="24" numFmtId="0" xfId="0" applyAlignment="1" applyFont="1">
      <alignment horizontal="center"/>
    </xf>
    <xf borderId="0" fillId="3" fontId="24" numFmtId="0" xfId="0" applyAlignment="1" applyFont="1">
      <alignment horizontal="right"/>
    </xf>
    <xf borderId="64" fillId="3" fontId="24" numFmtId="0" xfId="0" applyAlignment="1" applyBorder="1" applyFont="1">
      <alignment horizontal="center"/>
    </xf>
    <xf borderId="64" fillId="2" fontId="22" numFmtId="0" xfId="0" applyAlignment="1" applyBorder="1" applyFont="1">
      <alignment horizontal="center" readingOrder="0"/>
    </xf>
    <xf borderId="0" fillId="3" fontId="22" numFmtId="169" xfId="0" applyAlignment="1" applyFont="1" applyNumberFormat="1">
      <alignment horizontal="center" readingOrder="0"/>
    </xf>
    <xf borderId="64" fillId="2" fontId="22" numFmtId="169" xfId="0" applyAlignment="1" applyBorder="1" applyFont="1" applyNumberFormat="1">
      <alignment horizontal="center" readingOrder="0"/>
    </xf>
    <xf borderId="0" fillId="3" fontId="22" numFmtId="46" xfId="0" applyAlignment="1" applyFont="1" applyNumberFormat="1">
      <alignment horizontal="center"/>
    </xf>
    <xf borderId="0" fillId="3" fontId="31" numFmtId="0" xfId="0" applyAlignment="1" applyFont="1">
      <alignment vertical="bottom"/>
    </xf>
    <xf borderId="50" fillId="3" fontId="24" numFmtId="0" xfId="0" applyAlignment="1" applyBorder="1" applyFont="1">
      <alignment horizontal="center" vertical="bottom"/>
    </xf>
    <xf borderId="64" fillId="3" fontId="17" numFmtId="0" xfId="0" applyAlignment="1" applyBorder="1" applyFont="1">
      <alignment vertical="bottom"/>
    </xf>
    <xf borderId="64" fillId="3" fontId="24" numFmtId="0" xfId="0" applyAlignment="1" applyBorder="1" applyFont="1">
      <alignment horizontal="center" vertical="bottom"/>
    </xf>
    <xf borderId="64" fillId="3" fontId="24" numFmtId="0" xfId="0" applyAlignment="1" applyBorder="1" applyFont="1">
      <alignment horizontal="center" readingOrder="0" vertical="bottom"/>
    </xf>
    <xf borderId="72" fillId="3" fontId="24" numFmtId="0" xfId="0" applyAlignment="1" applyBorder="1" applyFont="1">
      <alignment horizontal="center" vertical="bottom"/>
    </xf>
    <xf borderId="66" fillId="0" fontId="16" numFmtId="0" xfId="0" applyAlignment="1" applyBorder="1" applyFont="1">
      <alignment vertical="bottom"/>
    </xf>
    <xf borderId="0" fillId="0" fontId="16" numFmtId="0" xfId="0" applyAlignment="1" applyFont="1">
      <alignment vertical="bottom"/>
    </xf>
    <xf borderId="57" fillId="0" fontId="22" numFmtId="171" xfId="0" applyAlignment="1" applyBorder="1" applyFont="1" applyNumberFormat="1">
      <alignment horizontal="center" vertical="bottom"/>
    </xf>
    <xf borderId="57" fillId="0" fontId="22" numFmtId="172" xfId="0" applyAlignment="1" applyBorder="1" applyFont="1" applyNumberFormat="1">
      <alignment horizontal="center" vertical="bottom"/>
    </xf>
    <xf borderId="57" fillId="0" fontId="22" numFmtId="0" xfId="0" applyAlignment="1" applyBorder="1" applyFont="1">
      <alignment horizontal="center" vertical="bottom"/>
    </xf>
    <xf borderId="57" fillId="0" fontId="22" numFmtId="170" xfId="0" applyAlignment="1" applyBorder="1" applyFont="1" applyNumberFormat="1">
      <alignment horizontal="center" readingOrder="0" vertical="bottom"/>
    </xf>
    <xf borderId="57" fillId="0" fontId="22" numFmtId="173" xfId="0" applyAlignment="1" applyBorder="1" applyFont="1" applyNumberFormat="1">
      <alignment horizontal="center" readingOrder="0" vertical="bottom"/>
    </xf>
    <xf borderId="73" fillId="0" fontId="22" numFmtId="173" xfId="0" applyAlignment="1" applyBorder="1" applyFont="1" applyNumberFormat="1">
      <alignment horizontal="center" readingOrder="0" vertical="bottom"/>
    </xf>
    <xf borderId="74" fillId="2" fontId="22" numFmtId="173" xfId="0" applyAlignment="1" applyBorder="1" applyFont="1" applyNumberFormat="1">
      <alignment horizontal="center"/>
    </xf>
    <xf borderId="75" fillId="0" fontId="22" numFmtId="173" xfId="0" applyAlignment="1" applyBorder="1" applyFont="1" applyNumberFormat="1">
      <alignment horizontal="center" vertical="bottom"/>
    </xf>
    <xf borderId="60" fillId="0" fontId="1" numFmtId="0" xfId="0" applyAlignment="1" applyBorder="1" applyFont="1">
      <alignment horizontal="left"/>
    </xf>
    <xf borderId="76" fillId="0" fontId="22" numFmtId="171" xfId="0" applyAlignment="1" applyBorder="1" applyFont="1" applyNumberFormat="1">
      <alignment horizontal="center" vertical="bottom"/>
    </xf>
    <xf borderId="76" fillId="0" fontId="22" numFmtId="172" xfId="0" applyAlignment="1" applyBorder="1" applyFont="1" applyNumberFormat="1">
      <alignment horizontal="center" vertical="bottom"/>
    </xf>
    <xf borderId="76" fillId="0" fontId="22" numFmtId="173" xfId="0" applyAlignment="1" applyBorder="1" applyFont="1" applyNumberFormat="1">
      <alignment horizontal="center" readingOrder="0" vertical="bottom"/>
    </xf>
    <xf borderId="74" fillId="0" fontId="22" numFmtId="173" xfId="0" applyAlignment="1" applyBorder="1" applyFont="1" applyNumberFormat="1">
      <alignment horizontal="center" readingOrder="0" vertical="bottom"/>
    </xf>
    <xf borderId="76" fillId="0" fontId="22" numFmtId="0" xfId="0" applyAlignment="1" applyBorder="1" applyFont="1">
      <alignment vertical="bottom"/>
    </xf>
    <xf borderId="76" fillId="0" fontId="22" numFmtId="170" xfId="0" applyAlignment="1" applyBorder="1" applyFont="1" applyNumberFormat="1">
      <alignment horizontal="center" readingOrder="0" vertical="bottom"/>
    </xf>
    <xf borderId="76" fillId="3" fontId="34" numFmtId="0" xfId="0" applyAlignment="1" applyBorder="1" applyFont="1">
      <alignment vertical="bottom"/>
    </xf>
    <xf borderId="57" fillId="3" fontId="34" numFmtId="0" xfId="0" applyAlignment="1" applyBorder="1" applyFont="1">
      <alignment vertical="bottom"/>
    </xf>
    <xf borderId="77" fillId="0" fontId="17" numFmtId="0" xfId="0" applyAlignment="1" applyBorder="1" applyFont="1">
      <alignment vertical="bottom"/>
    </xf>
    <xf borderId="75" fillId="0" fontId="17" numFmtId="0" xfId="0" applyAlignment="1" applyBorder="1" applyFont="1">
      <alignment vertical="bottom"/>
    </xf>
    <xf borderId="0" fillId="0" fontId="35" numFmtId="0" xfId="0" applyAlignment="1" applyFont="1">
      <alignment horizontal="center" readingOrder="0"/>
    </xf>
    <xf borderId="0" fillId="0" fontId="36" numFmtId="0" xfId="0" applyAlignment="1" applyFont="1">
      <alignment horizontal="left" readingOrder="0"/>
    </xf>
    <xf borderId="0" fillId="0" fontId="37" numFmtId="0" xfId="0" applyAlignment="1" applyFont="1">
      <alignment horizontal="center" readingOrder="0"/>
    </xf>
    <xf borderId="0" fillId="0" fontId="38" numFmtId="0" xfId="0" applyAlignment="1" applyFont="1">
      <alignment horizontal="left" readingOrder="0"/>
    </xf>
    <xf borderId="0" fillId="0" fontId="16" numFmtId="14" xfId="0" applyAlignment="1" applyFont="1" applyNumberFormat="1">
      <alignment horizontal="center"/>
    </xf>
    <xf borderId="0" fillId="0" fontId="39" numFmtId="166" xfId="0" applyAlignment="1" applyFont="1" applyNumberFormat="1">
      <alignment horizontal="center"/>
    </xf>
    <xf borderId="0" fillId="0" fontId="1" numFmtId="0" xfId="0" applyAlignment="1" applyFont="1">
      <alignment horizontal="center" readingOrder="0"/>
    </xf>
    <xf borderId="0" fillId="0" fontId="16" numFmtId="0" xfId="0" applyAlignment="1" applyFont="1">
      <alignment horizontal="center" readingOrder="0"/>
    </xf>
    <xf borderId="0" fillId="0" fontId="26" numFmtId="166" xfId="0" applyAlignment="1" applyFont="1" applyNumberFormat="1">
      <alignment horizontal="center"/>
    </xf>
    <xf borderId="0" fillId="0" fontId="16" numFmtId="0" xfId="0" applyAlignment="1" applyFont="1">
      <alignment horizontal="right" readingOrder="0"/>
    </xf>
    <xf borderId="0" fillId="0" fontId="16" numFmtId="167" xfId="0" applyAlignment="1" applyFont="1" applyNumberFormat="1">
      <alignment horizontal="center"/>
    </xf>
    <xf borderId="0" fillId="0" fontId="16" numFmtId="0" xfId="0" applyAlignment="1" applyFont="1">
      <alignment horizontal="center"/>
    </xf>
    <xf borderId="29" fillId="6" fontId="24" numFmtId="0" xfId="0" applyAlignment="1" applyBorder="1" applyFill="1" applyFont="1">
      <alignment horizontal="center" readingOrder="0"/>
    </xf>
    <xf borderId="0" fillId="0" fontId="16" numFmtId="0" xfId="0" applyAlignment="1" applyFont="1">
      <alignment horizontal="center" shrinkToFit="0" vertical="center" wrapText="1"/>
    </xf>
    <xf borderId="0" fillId="0" fontId="24" numFmtId="171" xfId="0" applyAlignment="1" applyFont="1" applyNumberFormat="1">
      <alignment horizontal="center" readingOrder="0" shrinkToFit="0" vertical="center" wrapText="1"/>
    </xf>
    <xf borderId="0" fillId="0" fontId="24" numFmtId="0" xfId="0" applyAlignment="1" applyFont="1">
      <alignment horizontal="center" readingOrder="0" shrinkToFit="0" vertical="center" wrapText="1"/>
    </xf>
    <xf borderId="0" fillId="0" fontId="24" numFmtId="167" xfId="0" applyAlignment="1" applyFont="1" applyNumberFormat="1">
      <alignment horizontal="center" readingOrder="0" shrinkToFit="0" vertical="center" wrapText="1"/>
    </xf>
    <xf borderId="0" fillId="0" fontId="40" numFmtId="0" xfId="0" applyAlignment="1" applyFont="1">
      <alignment horizontal="center" readingOrder="0" vertical="center"/>
    </xf>
    <xf borderId="0" fillId="0" fontId="40" numFmtId="166" xfId="0" applyAlignment="1" applyFont="1" applyNumberFormat="1">
      <alignment horizontal="center" readingOrder="0" vertical="center"/>
    </xf>
    <xf borderId="29" fillId="6" fontId="41" numFmtId="0" xfId="0" applyAlignment="1" applyBorder="1" applyFont="1">
      <alignment horizontal="center" readingOrder="0"/>
    </xf>
    <xf borderId="29" fillId="6" fontId="41" numFmtId="174" xfId="0" applyAlignment="1" applyBorder="1" applyFont="1" applyNumberFormat="1">
      <alignment horizontal="center" readingOrder="0"/>
    </xf>
    <xf borderId="29" fillId="6" fontId="42" numFmtId="0" xfId="0" applyAlignment="1" applyBorder="1" applyFont="1">
      <alignment horizontal="center" readingOrder="0"/>
    </xf>
    <xf borderId="0" fillId="0" fontId="16" numFmtId="171" xfId="0" applyAlignment="1" applyFont="1" applyNumberFormat="1">
      <alignment horizontal="center" readingOrder="0"/>
    </xf>
    <xf borderId="0" fillId="0" fontId="16" numFmtId="3" xfId="0" applyAlignment="1" applyFont="1" applyNumberFormat="1">
      <alignment horizontal="center" readingOrder="0"/>
    </xf>
    <xf borderId="0" fillId="0" fontId="16" numFmtId="167" xfId="0" applyAlignment="1" applyFont="1" applyNumberFormat="1">
      <alignment horizontal="center" readingOrder="0"/>
    </xf>
    <xf borderId="0" fillId="0" fontId="26" numFmtId="0" xfId="0" applyAlignment="1" applyFont="1">
      <alignment horizontal="center" readingOrder="0" shrinkToFit="0" vertical="center" wrapText="1"/>
    </xf>
    <xf borderId="0" fillId="0" fontId="26" numFmtId="166" xfId="0" applyAlignment="1" applyFont="1" applyNumberFormat="1">
      <alignment horizontal="center" readingOrder="0" shrinkToFit="0" vertical="center" wrapText="1"/>
    </xf>
    <xf borderId="0" fillId="0" fontId="23" numFmtId="0" xfId="0" applyAlignment="1" applyFont="1">
      <alignment horizontal="center" readingOrder="0" shrinkToFit="0" vertical="center" wrapText="1"/>
    </xf>
    <xf borderId="29" fillId="0" fontId="43" numFmtId="0" xfId="0" applyAlignment="1" applyBorder="1" applyFont="1">
      <alignment horizontal="left" readingOrder="0"/>
    </xf>
    <xf borderId="29" fillId="0" fontId="43" numFmtId="174" xfId="0" applyAlignment="1" applyBorder="1" applyFont="1" applyNumberFormat="1">
      <alignment horizontal="left" readingOrder="0"/>
    </xf>
    <xf borderId="29" fillId="0" fontId="23" numFmtId="0" xfId="0" applyAlignment="1" applyBorder="1" applyFont="1">
      <alignment horizontal="center" readingOrder="0" shrinkToFit="0" vertical="center" wrapText="1"/>
    </xf>
    <xf borderId="0" fillId="0" fontId="26" numFmtId="0" xfId="0" applyAlignment="1" applyFont="1">
      <alignment horizontal="center" readingOrder="0"/>
    </xf>
    <xf borderId="0" fillId="0" fontId="26" numFmtId="166" xfId="0" applyAlignment="1" applyFont="1" applyNumberFormat="1">
      <alignment horizontal="center" readingOrder="0"/>
    </xf>
    <xf borderId="0" fillId="0" fontId="26" numFmtId="166" xfId="0" applyAlignment="1" applyFont="1" applyNumberFormat="1">
      <alignment horizontal="center" readingOrder="0"/>
    </xf>
    <xf borderId="29" fillId="0" fontId="43" numFmtId="164" xfId="0" applyAlignment="1" applyBorder="1" applyFont="1" applyNumberFormat="1">
      <alignment horizontal="left" readingOrder="0"/>
    </xf>
    <xf borderId="29" fillId="0" fontId="26" numFmtId="166" xfId="0" applyAlignment="1" applyBorder="1" applyFont="1" applyNumberFormat="1">
      <alignment horizontal="center" readingOrder="0"/>
    </xf>
    <xf borderId="0" fillId="0" fontId="26" numFmtId="169" xfId="0" applyAlignment="1" applyFont="1" applyNumberFormat="1">
      <alignment horizontal="center" readingOrder="0"/>
    </xf>
    <xf borderId="29" fillId="0" fontId="44" numFmtId="0" xfId="0" applyAlignment="1" applyBorder="1" applyFont="1">
      <alignment horizontal="left" readingOrder="0"/>
    </xf>
    <xf borderId="29" fillId="0" fontId="44" numFmtId="164" xfId="0" applyAlignment="1" applyBorder="1" applyFont="1" applyNumberFormat="1">
      <alignment horizontal="left" readingOrder="0"/>
    </xf>
    <xf borderId="29" fillId="0" fontId="26" numFmtId="169" xfId="0" applyAlignment="1" applyBorder="1" applyFont="1" applyNumberFormat="1">
      <alignment horizontal="center" readingOrder="0"/>
    </xf>
    <xf borderId="29" fillId="0" fontId="43" numFmtId="164" xfId="0" applyAlignment="1" applyBorder="1" applyFont="1" applyNumberFormat="1">
      <alignment horizontal="left" readingOrder="0" shrinkToFit="0" vertical="center" wrapText="1"/>
    </xf>
    <xf borderId="0" fillId="0" fontId="23" numFmtId="0" xfId="0" applyAlignment="1" applyFont="1">
      <alignment horizontal="center" readingOrder="0"/>
    </xf>
    <xf borderId="29" fillId="0" fontId="23" numFmtId="0" xfId="0" applyAlignment="1" applyBorder="1" applyFont="1">
      <alignment horizontal="center" readingOrder="0"/>
    </xf>
    <xf borderId="29" fillId="0" fontId="43" numFmtId="166" xfId="0" applyAlignment="1" applyBorder="1" applyFont="1" applyNumberFormat="1">
      <alignment horizontal="left" readingOrder="0"/>
    </xf>
    <xf borderId="0" fillId="0" fontId="26" numFmtId="166" xfId="0" applyAlignment="1" applyFont="1" applyNumberFormat="1">
      <alignment horizontal="center"/>
    </xf>
    <xf borderId="0" fillId="0" fontId="16" numFmtId="171" xfId="0" applyAlignment="1" applyFont="1" applyNumberFormat="1">
      <alignment horizontal="center"/>
    </xf>
    <xf borderId="0" fillId="0" fontId="16" numFmtId="0" xfId="0" applyAlignment="1" applyFont="1">
      <alignment horizontal="center"/>
    </xf>
    <xf borderId="0" fillId="0" fontId="16" numFmtId="167" xfId="0" applyAlignment="1" applyFont="1" applyNumberFormat="1">
      <alignment horizontal="center"/>
    </xf>
  </cellXfs>
  <cellStyles count="1">
    <cellStyle xfId="0" name="Normal" builtinId="0"/>
  </cellStyles>
  <dxfs count="12"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none"/>
      </fill>
      <border/>
    </dxf>
    <dxf>
      <font>
        <color rgb="FF000000"/>
      </font>
      <fill>
        <patternFill patternType="solid">
          <fgColor rgb="FFFFF2CC"/>
          <bgColor rgb="FFFFF2CC"/>
        </patternFill>
      </fill>
      <border/>
    </dxf>
    <dxf>
      <font>
        <color rgb="FFFFFFFF"/>
      </font>
      <fill>
        <patternFill patternType="solid">
          <fgColor rgb="FF0000FF"/>
          <bgColor rgb="FF0000FF"/>
        </patternFill>
      </fill>
      <border/>
    </dxf>
    <dxf>
      <font/>
      <fill>
        <patternFill patternType="solid">
          <fgColor rgb="FFEA4335"/>
          <bgColor rgb="FFEA4335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3F3F3"/>
          <bgColor rgb="FFF3F3F3"/>
        </patternFill>
      </fill>
      <border/>
    </dxf>
    <dxf>
      <font/>
      <fill>
        <patternFill patternType="solid">
          <fgColor theme="5"/>
          <bgColor theme="5"/>
        </patternFill>
      </fill>
      <border/>
    </dxf>
    <dxf>
      <font/>
      <fill>
        <patternFill patternType="solid">
          <fgColor rgb="FF4285F4"/>
          <bgColor rgb="FF4285F4"/>
        </patternFill>
      </fill>
      <border/>
    </dxf>
    <dxf>
      <font/>
      <fill>
        <patternFill patternType="solid">
          <fgColor rgb="FFF7CB4D"/>
          <bgColor rgb="FFF7CB4D"/>
        </patternFill>
      </fill>
      <border/>
    </dxf>
    <dxf>
      <font/>
      <fill>
        <patternFill patternType="solid">
          <fgColor rgb="FFFEF8E3"/>
          <bgColor rgb="FFFEF8E3"/>
        </patternFill>
      </fill>
      <border/>
    </dxf>
    <dxf>
      <font/>
      <fill>
        <patternFill patternType="solid">
          <fgColor rgb="FFFCE8B2"/>
          <bgColor rgb="FFFCE8B2"/>
        </patternFill>
      </fill>
      <border/>
    </dxf>
  </dxfs>
  <tableStyles count="3">
    <tableStyle count="4" pivot="0" name="funcionario-style">
      <tableStyleElement dxfId="4" type="headerRow"/>
      <tableStyleElement dxfId="5" type="firstRowStripe"/>
      <tableStyleElement dxfId="6" type="secondRowStripe"/>
      <tableStyleElement dxfId="7" type="totalRow"/>
    </tableStyle>
    <tableStyle count="4" pivot="0" name="Calendário-style">
      <tableStyleElement dxfId="8" type="headerRow"/>
      <tableStyleElement dxfId="5" type="firstRowStripe"/>
      <tableStyleElement dxfId="6" type="secondRowStripe"/>
      <tableStyleElement dxfId="8" type="totalRow"/>
    </tableStyle>
    <tableStyle count="4" pivot="0" name="Calendário-style 2">
      <tableStyleElement dxfId="9" type="headerRow"/>
      <tableStyleElement dxfId="5" type="firstRowStripe"/>
      <tableStyleElement dxfId="10" type="secondRowStripe"/>
      <tableStyleElement dxfId="11" type="totalRow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ocumenttasks/documenttask1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Financeiro Max Cast" id="{f3ceec29-5acb-4d33-88f1-79f18dbaa3e4}" providerId="google-sheets"/>
</x18tc:personList>
</file>

<file path=xl/tables/table1.xml><?xml version="1.0" encoding="utf-8"?>
<table xmlns="http://schemas.openxmlformats.org/spreadsheetml/2006/main" totalsRowCount="1" ref="C19:M51" displayName="Table_1" name="Table_1" id="1">
  <tableColumns count="11">
    <tableColumn name="Dias" id="1"/>
    <tableColumn name="dia" id="2"/>
    <tableColumn name="Folgas" id="3"/>
    <tableColumn name="Entrada" id="4"/>
    <tableColumn name="Almoço" id="5"/>
    <tableColumn name="Volta" id="6"/>
    <tableColumn name="Saída" id="7"/>
    <tableColumn name="Trabalhadas" id="8"/>
    <tableColumn name="Extras" id="9"/>
    <tableColumn name="Devedora" id="10"/>
    <tableColumn name="Observação" id="11"/>
  </tableColumns>
  <tableStyleInfo name="funcionario-style" showColumnStripes="0" showFirstColumn="1" showLastColumn="1" showRowStripes="1"/>
</table>
</file>

<file path=xl/tables/table2.xml><?xml version="1.0" encoding="utf-8"?>
<table xmlns="http://schemas.openxmlformats.org/spreadsheetml/2006/main" totalsRowCount="1" ref="B5:D37" displayName="Table_2" name="Table_2" id="2">
  <tableColumns count="3">
    <tableColumn name="Dia " id="1"/>
    <tableColumn name="Feriados" id="2"/>
    <tableColumn name="Folga da Semana" id="3"/>
  </tableColumns>
  <tableStyleInfo name="Calendário-style" showColumnStripes="0" showFirstColumn="1" showLastColumn="1" showRowStripes="1"/>
</table>
</file>

<file path=xl/tables/table3.xml><?xml version="1.0" encoding="utf-8"?>
<table xmlns="http://schemas.openxmlformats.org/spreadsheetml/2006/main" totalsRowCount="1" ref="F5:G37" displayName="Table_3" name="Table_3" id="3">
  <tableColumns count="2">
    <tableColumn name="Feriados" id="1"/>
    <tableColumn name="Datas" id="2"/>
  </tableColumns>
  <tableStyleInfo name="Calendário-style 2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K5" dT="2024-10-16T16:46:53.00" personId="{f3ceec29-5acb-4d33-88f1-79f18dbaa3e4}" id="{4c40d24c-54ea-408b-aa79-af436e58b34e}" done="1">
    <x18tc:text xml:space="preserve">Antes ou depois do dia 26.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1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4.xml"/><Relationship Id="rId9" Type="http://schemas.openxmlformats.org/officeDocument/2006/relationships/table" Target="../tables/table3.xml"/><Relationship Id="rId5" Type="http://schemas.openxmlformats.org/officeDocument/2006/relationships/vmlDrawing" Target="../drawings/vmlDrawing1.vml"/><Relationship Id="rId8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63"/>
    <col customWidth="1" hidden="1" min="2" max="2" width="3.5"/>
    <col customWidth="1" min="3" max="3" width="5.13"/>
    <col customWidth="1" min="8" max="8" width="5.13"/>
    <col customWidth="1" min="9" max="9" width="12.63"/>
    <col hidden="1" min="10" max="26" width="12.63"/>
  </cols>
  <sheetData>
    <row r="1">
      <c r="A1" s="1"/>
      <c r="B1" s="2"/>
      <c r="C1" s="2"/>
      <c r="D1" s="2"/>
      <c r="E1" s="2"/>
      <c r="F1" s="2"/>
      <c r="G1" s="2"/>
      <c r="H1" s="2"/>
      <c r="I1" s="3"/>
      <c r="J1" s="4"/>
      <c r="K1" s="5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</row>
    <row r="2">
      <c r="A2" s="7"/>
      <c r="B2" s="8"/>
      <c r="C2" s="9"/>
      <c r="D2" s="10"/>
      <c r="E2" s="10"/>
      <c r="F2" s="10"/>
      <c r="G2" s="10"/>
      <c r="H2" s="11"/>
      <c r="I2" s="4"/>
      <c r="J2" s="12"/>
      <c r="K2" s="13"/>
      <c r="L2" s="14"/>
      <c r="M2" s="14"/>
      <c r="N2" s="14"/>
      <c r="O2" s="14"/>
      <c r="P2" s="14"/>
      <c r="Q2" s="14"/>
      <c r="R2" s="14"/>
      <c r="S2" s="14"/>
      <c r="T2" s="6"/>
      <c r="U2" s="6"/>
      <c r="V2" s="6"/>
      <c r="W2" s="6"/>
      <c r="X2" s="6"/>
      <c r="Y2" s="6"/>
    </row>
    <row r="3">
      <c r="A3" s="15"/>
      <c r="B3" s="16"/>
      <c r="C3" s="17"/>
      <c r="D3" s="18" t="s">
        <v>0</v>
      </c>
      <c r="E3" s="19"/>
      <c r="F3" s="19"/>
      <c r="G3" s="20"/>
      <c r="H3" s="21"/>
      <c r="I3" s="22"/>
      <c r="J3" s="23"/>
      <c r="K3" s="24"/>
      <c r="L3" s="24"/>
      <c r="M3" s="24"/>
      <c r="N3" s="24"/>
      <c r="O3" s="24"/>
      <c r="P3" s="24"/>
      <c r="Q3" s="24"/>
      <c r="R3" s="24"/>
      <c r="S3" s="24"/>
      <c r="T3" s="5"/>
      <c r="U3" s="6"/>
      <c r="V3" s="6"/>
      <c r="W3" s="6"/>
      <c r="X3" s="6"/>
      <c r="Y3" s="6"/>
    </row>
    <row r="4">
      <c r="A4" s="25"/>
      <c r="B4" s="26"/>
      <c r="C4" s="27"/>
      <c r="D4" s="28"/>
      <c r="E4" s="29" t="s">
        <v>1</v>
      </c>
      <c r="F4" s="30"/>
      <c r="G4" s="28"/>
      <c r="H4" s="31"/>
      <c r="I4" s="32"/>
      <c r="J4" s="33"/>
      <c r="K4" s="34"/>
      <c r="L4" s="35"/>
      <c r="M4" s="35"/>
      <c r="N4" s="35"/>
      <c r="O4" s="35"/>
      <c r="P4" s="35"/>
      <c r="Q4" s="35"/>
      <c r="R4" s="35"/>
      <c r="S4" s="35"/>
      <c r="T4" s="6"/>
      <c r="U4" s="6"/>
      <c r="V4" s="6"/>
      <c r="W4" s="6"/>
      <c r="X4" s="6"/>
      <c r="Y4" s="6"/>
    </row>
    <row r="5">
      <c r="A5" s="36"/>
      <c r="B5" s="26"/>
      <c r="C5" s="37"/>
      <c r="D5" s="38" t="str">
        <f>funcionario!M8</f>
        <v>André de Castro Vasconcelos</v>
      </c>
      <c r="E5" s="39"/>
      <c r="F5" s="39"/>
      <c r="G5" s="40"/>
      <c r="H5" s="41"/>
      <c r="I5" s="32"/>
      <c r="J5" s="4"/>
      <c r="K5" s="5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</row>
    <row r="6">
      <c r="A6" s="36"/>
      <c r="B6" s="26"/>
      <c r="C6" s="42"/>
      <c r="D6" s="43"/>
      <c r="E6" s="43"/>
      <c r="F6" s="43"/>
      <c r="G6" s="43"/>
      <c r="H6" s="31"/>
      <c r="I6" s="32"/>
      <c r="J6" s="4"/>
      <c r="K6" s="5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</row>
    <row r="7">
      <c r="A7" s="36"/>
      <c r="B7" s="26"/>
      <c r="C7" s="27"/>
      <c r="D7" s="44" t="s">
        <v>2</v>
      </c>
      <c r="E7" s="40"/>
      <c r="F7" s="45">
        <f>'Interação'!J13</f>
        <v>46099</v>
      </c>
      <c r="G7" s="40"/>
      <c r="H7" s="31"/>
      <c r="I7" s="32"/>
      <c r="J7" s="4"/>
      <c r="K7" s="5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</row>
    <row r="8">
      <c r="A8" s="36"/>
      <c r="B8" s="26"/>
      <c r="C8" s="27"/>
      <c r="D8" s="46">
        <f>funcionario!C10</f>
        <v>0.375</v>
      </c>
      <c r="E8" s="46">
        <f>funcionario!D10</f>
        <v>0.4583333333</v>
      </c>
      <c r="F8" s="46">
        <f>funcionario!E10</f>
        <v>0.5166666667</v>
      </c>
      <c r="G8" s="46">
        <f>funcionario!F10</f>
        <v>45870.58476</v>
      </c>
      <c r="H8" s="31"/>
      <c r="I8" s="32"/>
      <c r="J8" s="4"/>
      <c r="K8" s="5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</row>
    <row r="9">
      <c r="A9" s="36"/>
      <c r="B9" s="26"/>
      <c r="C9" s="47"/>
      <c r="D9" s="48" t="s">
        <v>3</v>
      </c>
      <c r="E9" s="48" t="s">
        <v>4</v>
      </c>
      <c r="F9" s="48" t="s">
        <v>5</v>
      </c>
      <c r="G9" s="48" t="s">
        <v>6</v>
      </c>
      <c r="H9" s="49"/>
      <c r="I9" s="32"/>
      <c r="J9" s="4"/>
      <c r="K9" s="5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</row>
    <row r="10" ht="1.5" customHeight="1">
      <c r="A10" s="36"/>
      <c r="B10" s="26"/>
      <c r="C10" s="50">
        <f t="array" ref="C10">INDEX('Interação'!C1:C44, 'Interação'!H12)
</f>
        <v>46099</v>
      </c>
      <c r="D10" s="51" t="str">
        <f t="array" ref="D10">INDEX('Interação'!D1:D44, 'Interação'!H12)
</f>
        <v/>
      </c>
      <c r="E10" s="51" t="str">
        <f t="array" ref="E10">INDEX('Interação'!E1:E44, 'Interação'!H12)
</f>
        <v/>
      </c>
      <c r="F10" s="51" t="str">
        <f t="array" ref="F10">INDEX('Interação'!F1:F44, 'Interação'!H12)
</f>
        <v/>
      </c>
      <c r="G10" s="51" t="str">
        <f t="array" ref="G10">INDEX('Interação'!G1:G44, 'Interação'!H12)
</f>
        <v/>
      </c>
      <c r="H10" s="52" t="str">
        <f t="array" ref="H10">INDEX('Interação'!H1:H44, 'Interação'!H12)
</f>
        <v/>
      </c>
      <c r="I10" s="32"/>
      <c r="J10" s="4"/>
      <c r="K10" s="5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</row>
    <row r="11" ht="36.75" customHeight="1">
      <c r="A11" s="36"/>
      <c r="B11" s="26"/>
      <c r="C11" s="47"/>
      <c r="D11" s="53"/>
      <c r="E11" s="53"/>
      <c r="F11" s="53"/>
      <c r="G11" s="53"/>
      <c r="H11" s="49"/>
      <c r="I11" s="32"/>
      <c r="J11" s="4"/>
      <c r="K11" s="5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</row>
    <row r="12">
      <c r="A12" s="36"/>
      <c r="B12" s="54"/>
      <c r="C12" s="55"/>
      <c r="D12" s="56"/>
      <c r="E12" s="57"/>
      <c r="F12" s="57"/>
      <c r="G12" s="57"/>
      <c r="H12" s="58"/>
      <c r="I12" s="32"/>
      <c r="J12" s="4"/>
      <c r="K12" s="13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>
      <c r="A13" s="36"/>
      <c r="B13" s="59"/>
      <c r="C13" s="60"/>
      <c r="D13" s="61"/>
      <c r="G13" s="62"/>
      <c r="H13" s="63"/>
      <c r="I13" s="64"/>
      <c r="J13" s="4"/>
      <c r="K13" s="3"/>
      <c r="L13" s="5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>
      <c r="A14" s="36"/>
      <c r="B14" s="3"/>
      <c r="C14" s="36"/>
      <c r="D14" s="65" t="s">
        <v>7</v>
      </c>
      <c r="E14" s="66"/>
      <c r="F14" s="67"/>
      <c r="G14" s="68"/>
      <c r="H14" s="33"/>
      <c r="I14" s="3"/>
      <c r="J14" s="4"/>
      <c r="K14" s="3"/>
      <c r="L14" s="5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>
      <c r="A15" s="36"/>
      <c r="B15" s="3"/>
      <c r="C15" s="36"/>
      <c r="D15" s="69"/>
      <c r="E15" s="70"/>
      <c r="G15" s="71"/>
      <c r="H15" s="4"/>
      <c r="I15" s="3"/>
      <c r="J15" s="4"/>
      <c r="K15" s="3"/>
      <c r="L15" s="5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>
      <c r="A16" s="72"/>
      <c r="B16" s="3"/>
      <c r="C16" s="36"/>
      <c r="D16" s="69"/>
      <c r="E16" s="70"/>
      <c r="G16" s="71"/>
      <c r="H16" s="4"/>
      <c r="I16" s="3"/>
      <c r="J16" s="4"/>
      <c r="K16" s="34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>
      <c r="A17" s="73"/>
      <c r="B17" s="3"/>
      <c r="C17" s="36"/>
      <c r="D17" s="69"/>
      <c r="E17" s="70"/>
      <c r="G17" s="71"/>
      <c r="H17" s="12"/>
      <c r="I17" s="3"/>
      <c r="J17" s="4"/>
      <c r="K17" s="5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>
      <c r="A18" s="73"/>
      <c r="B18" s="3"/>
      <c r="C18" s="36"/>
      <c r="D18" s="74"/>
      <c r="E18" s="70"/>
      <c r="G18" s="71"/>
      <c r="H18" s="75"/>
      <c r="I18" s="4"/>
      <c r="J18" s="34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>
      <c r="A19" s="73"/>
      <c r="B19" s="3"/>
      <c r="C19" s="36"/>
      <c r="D19" s="69"/>
      <c r="E19" s="70"/>
      <c r="G19" s="71"/>
      <c r="H19" s="33"/>
      <c r="I19" s="3"/>
      <c r="J19" s="5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>
      <c r="A20" s="6"/>
      <c r="B20" s="72"/>
      <c r="C20" s="25"/>
      <c r="D20" s="69"/>
      <c r="E20" s="70"/>
      <c r="G20" s="71"/>
      <c r="H20" s="33"/>
      <c r="I20" s="34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>
      <c r="A21" s="6"/>
      <c r="B21" s="6"/>
      <c r="C21" s="72"/>
      <c r="D21" s="76"/>
      <c r="E21" s="77"/>
      <c r="F21" s="78"/>
      <c r="G21" s="79"/>
      <c r="H21" s="34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>
      <c r="A22" s="6"/>
      <c r="B22" s="6"/>
      <c r="C22" s="6"/>
      <c r="D22" s="35"/>
      <c r="E22" s="35"/>
      <c r="F22" s="35"/>
      <c r="G22" s="35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>
      <c r="A30" s="80"/>
      <c r="B30" s="6"/>
      <c r="C30" s="81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</sheetData>
  <mergeCells count="7">
    <mergeCell ref="D3:G3"/>
    <mergeCell ref="E4:F4"/>
    <mergeCell ref="D5:G5"/>
    <mergeCell ref="D7:E7"/>
    <mergeCell ref="F7:G7"/>
    <mergeCell ref="D13:G13"/>
    <mergeCell ref="E14:G21"/>
  </mergeCells>
  <conditionalFormatting sqref="D11:G11">
    <cfRule type="cellIs" dxfId="0" priority="1" operator="equal">
      <formula>"TRUE"</formula>
    </cfRule>
  </conditionalFormatting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4A853"/>
    <outlinePr summaryBelow="0" summaryRight="0"/>
    <pageSetUpPr fitToPage="1"/>
  </sheetPr>
  <sheetViews>
    <sheetView showGridLines="0" workbookViewId="0"/>
  </sheetViews>
  <sheetFormatPr customHeight="1" defaultColWidth="12.63" defaultRowHeight="15.75"/>
  <cols>
    <col customWidth="1" min="1" max="1" width="3.88"/>
    <col customWidth="1" min="2" max="2" width="10.13"/>
    <col customWidth="1" min="3" max="7" width="12.63"/>
    <col customWidth="1" min="8" max="8" width="28.25"/>
    <col customWidth="1" min="9" max="9" width="41.0"/>
    <col customWidth="1" min="10" max="10" width="10.13"/>
    <col customWidth="1" min="11" max="11" width="3.88"/>
  </cols>
  <sheetData>
    <row r="1">
      <c r="A1" s="82"/>
      <c r="B1" s="83"/>
      <c r="C1" s="84"/>
      <c r="D1" s="84"/>
      <c r="E1" s="83"/>
      <c r="F1" s="83"/>
      <c r="G1" s="83"/>
      <c r="H1" s="83"/>
      <c r="I1" s="83"/>
      <c r="J1" s="83"/>
      <c r="K1" s="85"/>
    </row>
    <row r="2">
      <c r="A2" s="86"/>
      <c r="B2" s="85"/>
      <c r="C2" s="87"/>
      <c r="D2" s="87"/>
      <c r="E2" s="87"/>
      <c r="F2" s="87"/>
      <c r="G2" s="87"/>
      <c r="H2" s="87"/>
      <c r="I2" s="87"/>
      <c r="J2" s="86"/>
      <c r="K2" s="85"/>
    </row>
    <row r="3" ht="51.0" customHeight="1">
      <c r="A3" s="86"/>
      <c r="B3" s="85"/>
      <c r="C3" s="88" t="s">
        <v>8</v>
      </c>
      <c r="D3" s="89"/>
      <c r="E3" s="89"/>
      <c r="F3" s="89"/>
      <c r="G3" s="89"/>
      <c r="H3" s="89"/>
      <c r="I3" s="90"/>
      <c r="J3" s="86"/>
      <c r="K3" s="85"/>
    </row>
    <row r="4">
      <c r="A4" s="86"/>
      <c r="B4" s="85"/>
      <c r="C4" s="91">
        <f>'Calendário'!B2
</f>
        <v>46082</v>
      </c>
      <c r="D4" s="92"/>
      <c r="E4" s="92"/>
      <c r="F4" s="92"/>
      <c r="G4" s="92"/>
      <c r="H4" s="93" t="s">
        <v>9</v>
      </c>
      <c r="I4" s="92"/>
      <c r="J4" s="86"/>
      <c r="K4" s="85"/>
    </row>
    <row r="5">
      <c r="A5" s="86"/>
      <c r="B5" s="85"/>
      <c r="C5" s="94"/>
      <c r="D5" s="94"/>
      <c r="E5" s="94"/>
      <c r="F5" s="94"/>
      <c r="G5" s="94"/>
      <c r="H5" s="94"/>
      <c r="I5" s="94"/>
      <c r="J5" s="86"/>
      <c r="K5" s="85"/>
    </row>
    <row r="6">
      <c r="A6" s="86"/>
      <c r="B6" s="85"/>
      <c r="C6" s="95" t="s">
        <v>10</v>
      </c>
      <c r="D6" s="96">
        <f>IFERROR(DATE(YEAR(C4), MONTH(C4)-1, 26), "")
</f>
        <v>46079</v>
      </c>
      <c r="E6" s="97" t="s">
        <v>11</v>
      </c>
      <c r="F6" s="98">
        <f>IFERROR(DATE(YEAR(C4), MONTH(C4), 25), "")
</f>
        <v>46106</v>
      </c>
      <c r="G6" s="99"/>
      <c r="H6" s="100" t="s">
        <v>12</v>
      </c>
      <c r="I6" s="101"/>
      <c r="J6" s="86"/>
      <c r="K6" s="85"/>
    </row>
    <row r="7">
      <c r="A7" s="86"/>
      <c r="B7" s="85"/>
      <c r="C7" s="102"/>
      <c r="D7" s="103"/>
      <c r="E7" s="102"/>
      <c r="F7" s="104"/>
      <c r="G7" s="102"/>
      <c r="H7" s="105" t="s">
        <v>13</v>
      </c>
      <c r="I7" s="106" t="str">
        <f>funcionario!M8
</f>
        <v>André de Castro Vasconcelos</v>
      </c>
      <c r="J7" s="107"/>
    </row>
    <row r="8">
      <c r="A8" s="86"/>
      <c r="B8" s="85"/>
      <c r="C8" s="108" t="s">
        <v>14</v>
      </c>
      <c r="D8" s="109"/>
      <c r="E8" s="109"/>
      <c r="F8" s="110"/>
      <c r="G8" s="102"/>
      <c r="H8" s="105" t="s">
        <v>15</v>
      </c>
      <c r="I8" s="111">
        <f>funcionario!M9
</f>
        <v>2</v>
      </c>
      <c r="J8" s="86"/>
      <c r="K8" s="85"/>
    </row>
    <row r="9">
      <c r="A9" s="86"/>
      <c r="B9" s="85"/>
      <c r="C9" s="112" t="s">
        <v>16</v>
      </c>
      <c r="D9" s="113" t="s">
        <v>17</v>
      </c>
      <c r="E9" s="113" t="s">
        <v>18</v>
      </c>
      <c r="F9" s="112" t="s">
        <v>19</v>
      </c>
      <c r="G9" s="102"/>
      <c r="H9" s="114"/>
      <c r="I9" s="115"/>
      <c r="J9" s="86"/>
      <c r="K9" s="85"/>
    </row>
    <row r="10">
      <c r="A10" s="86"/>
      <c r="B10" s="85"/>
      <c r="C10" s="116"/>
      <c r="D10" s="116"/>
      <c r="E10" s="116"/>
      <c r="F10" s="116"/>
      <c r="G10" s="102"/>
      <c r="H10" s="114"/>
      <c r="I10" s="115"/>
      <c r="J10" s="86"/>
      <c r="K10" s="85"/>
    </row>
    <row r="11">
      <c r="A11" s="86"/>
      <c r="B11" s="85"/>
      <c r="C11" s="102"/>
      <c r="D11" s="117"/>
      <c r="E11" s="102"/>
      <c r="F11" s="102"/>
      <c r="G11" s="117"/>
      <c r="H11" s="118"/>
      <c r="I11" s="102"/>
      <c r="J11" s="86"/>
      <c r="K11" s="85"/>
    </row>
    <row r="12">
      <c r="A12" s="86"/>
      <c r="B12" s="85"/>
      <c r="C12" s="119"/>
      <c r="D12" s="119"/>
      <c r="E12" s="120"/>
      <c r="F12" s="120"/>
      <c r="G12" s="120"/>
      <c r="H12" s="121">
        <f>MATCH(J13, C1:C44, 0)
</f>
        <v>34</v>
      </c>
      <c r="I12" s="122"/>
      <c r="J12" s="86"/>
      <c r="K12" s="85"/>
    </row>
    <row r="13">
      <c r="A13" s="86"/>
      <c r="B13" s="85"/>
      <c r="C13" s="113" t="s">
        <v>20</v>
      </c>
      <c r="D13" s="113" t="s">
        <v>16</v>
      </c>
      <c r="E13" s="113" t="s">
        <v>17</v>
      </c>
      <c r="F13" s="113" t="s">
        <v>18</v>
      </c>
      <c r="G13" s="113" t="s">
        <v>19</v>
      </c>
      <c r="H13" s="123" t="s">
        <v>21</v>
      </c>
      <c r="I13" s="124"/>
      <c r="J13" s="125">
        <f>TODAY()</f>
        <v>46099</v>
      </c>
      <c r="K13" s="85"/>
    </row>
    <row r="14">
      <c r="A14" s="126"/>
      <c r="B14" s="127"/>
      <c r="C14" s="128">
        <f>DATE(YEAR(C4), MONTH(C4)-1, 26)
</f>
        <v>46079</v>
      </c>
      <c r="D14" s="129"/>
      <c r="E14" s="129"/>
      <c r="F14" s="129"/>
      <c r="G14" s="129"/>
      <c r="H14" s="130"/>
      <c r="I14" s="131"/>
      <c r="J14" s="132">
        <f>NOW()
</f>
        <v>46099.4353</v>
      </c>
      <c r="K14" s="133"/>
    </row>
    <row r="15">
      <c r="A15" s="126"/>
      <c r="B15" s="133"/>
      <c r="C15" s="134">
        <f t="shared" ref="C15:C44" si="1">C14+1
</f>
        <v>46080</v>
      </c>
      <c r="D15" s="129"/>
      <c r="E15" s="129"/>
      <c r="F15" s="129"/>
      <c r="G15" s="129"/>
      <c r="H15" s="135"/>
      <c r="I15" s="136"/>
      <c r="J15" s="137"/>
      <c r="K15" s="133"/>
    </row>
    <row r="16">
      <c r="A16" s="126"/>
      <c r="B16" s="133"/>
      <c r="C16" s="128">
        <f t="shared" si="1"/>
        <v>46081</v>
      </c>
      <c r="D16" s="129"/>
      <c r="E16" s="129"/>
      <c r="F16" s="129"/>
      <c r="G16" s="129"/>
      <c r="H16" s="138"/>
      <c r="I16" s="131"/>
      <c r="J16" s="137"/>
      <c r="K16" s="133"/>
    </row>
    <row r="17">
      <c r="A17" s="126"/>
      <c r="B17" s="133"/>
      <c r="C17" s="134">
        <f t="shared" si="1"/>
        <v>46082</v>
      </c>
      <c r="D17" s="129"/>
      <c r="E17" s="129"/>
      <c r="F17" s="129"/>
      <c r="G17" s="129"/>
      <c r="H17" s="139"/>
      <c r="I17" s="136"/>
      <c r="J17" s="137"/>
      <c r="K17" s="133"/>
    </row>
    <row r="18">
      <c r="A18" s="126"/>
      <c r="B18" s="133"/>
      <c r="C18" s="128">
        <f t="shared" si="1"/>
        <v>46083</v>
      </c>
      <c r="D18" s="129"/>
      <c r="E18" s="129"/>
      <c r="F18" s="129"/>
      <c r="G18" s="129"/>
      <c r="H18" s="138"/>
      <c r="I18" s="131"/>
      <c r="J18" s="137"/>
      <c r="K18" s="133"/>
    </row>
    <row r="19">
      <c r="A19" s="126"/>
      <c r="B19" s="133"/>
      <c r="C19" s="134">
        <f t="shared" si="1"/>
        <v>46084</v>
      </c>
      <c r="D19" s="129"/>
      <c r="E19" s="129"/>
      <c r="F19" s="129"/>
      <c r="G19" s="129"/>
      <c r="H19" s="135"/>
      <c r="I19" s="136"/>
      <c r="J19" s="137"/>
      <c r="K19" s="133"/>
    </row>
    <row r="20">
      <c r="A20" s="126"/>
      <c r="B20" s="133"/>
      <c r="C20" s="128">
        <f t="shared" si="1"/>
        <v>46085</v>
      </c>
      <c r="D20" s="140"/>
      <c r="E20" s="129"/>
      <c r="F20" s="129"/>
      <c r="G20" s="129"/>
      <c r="H20" s="138"/>
      <c r="I20" s="131"/>
      <c r="J20" s="137"/>
      <c r="K20" s="133"/>
    </row>
    <row r="21">
      <c r="A21" s="126"/>
      <c r="B21" s="133"/>
      <c r="C21" s="134">
        <f t="shared" si="1"/>
        <v>46086</v>
      </c>
      <c r="D21" s="129"/>
      <c r="E21" s="129"/>
      <c r="F21" s="129"/>
      <c r="G21" s="129"/>
      <c r="H21" s="135"/>
      <c r="I21" s="136"/>
      <c r="J21" s="137"/>
      <c r="K21" s="133"/>
    </row>
    <row r="22">
      <c r="A22" s="126"/>
      <c r="B22" s="133"/>
      <c r="C22" s="128">
        <f t="shared" si="1"/>
        <v>46087</v>
      </c>
      <c r="D22" s="129"/>
      <c r="E22" s="129"/>
      <c r="F22" s="129"/>
      <c r="G22" s="129"/>
      <c r="H22" s="138"/>
      <c r="I22" s="131"/>
      <c r="J22" s="137"/>
      <c r="K22" s="133"/>
    </row>
    <row r="23">
      <c r="A23" s="126"/>
      <c r="B23" s="133"/>
      <c r="C23" s="134">
        <f t="shared" si="1"/>
        <v>46088</v>
      </c>
      <c r="D23" s="129"/>
      <c r="E23" s="129"/>
      <c r="F23" s="129"/>
      <c r="G23" s="129"/>
      <c r="H23" s="135"/>
      <c r="I23" s="136"/>
      <c r="J23" s="137"/>
      <c r="K23" s="133"/>
    </row>
    <row r="24">
      <c r="A24" s="126"/>
      <c r="B24" s="133"/>
      <c r="C24" s="128">
        <f t="shared" si="1"/>
        <v>46089</v>
      </c>
      <c r="D24" s="129"/>
      <c r="E24" s="129"/>
      <c r="F24" s="129"/>
      <c r="G24" s="129"/>
      <c r="H24" s="141"/>
      <c r="I24" s="131"/>
      <c r="J24" s="137"/>
      <c r="K24" s="133"/>
    </row>
    <row r="25">
      <c r="A25" s="126"/>
      <c r="B25" s="133"/>
      <c r="C25" s="134">
        <f t="shared" si="1"/>
        <v>46090</v>
      </c>
      <c r="D25" s="129"/>
      <c r="E25" s="129"/>
      <c r="F25" s="129"/>
      <c r="G25" s="129"/>
      <c r="H25" s="135"/>
      <c r="I25" s="136"/>
      <c r="J25" s="137"/>
      <c r="K25" s="133"/>
    </row>
    <row r="26">
      <c r="A26" s="126"/>
      <c r="B26" s="133"/>
      <c r="C26" s="128">
        <f t="shared" si="1"/>
        <v>46091</v>
      </c>
      <c r="D26" s="129"/>
      <c r="E26" s="129"/>
      <c r="F26" s="129"/>
      <c r="G26" s="129"/>
      <c r="H26" s="138"/>
      <c r="I26" s="131"/>
      <c r="J26" s="137"/>
      <c r="K26" s="133"/>
    </row>
    <row r="27">
      <c r="A27" s="126"/>
      <c r="B27" s="133"/>
      <c r="C27" s="134">
        <f t="shared" si="1"/>
        <v>46092</v>
      </c>
      <c r="D27" s="129"/>
      <c r="E27" s="129"/>
      <c r="F27" s="129"/>
      <c r="G27" s="129"/>
      <c r="H27" s="135"/>
      <c r="I27" s="136"/>
      <c r="J27" s="137"/>
      <c r="K27" s="133"/>
    </row>
    <row r="28">
      <c r="A28" s="126"/>
      <c r="B28" s="133"/>
      <c r="C28" s="128">
        <f t="shared" si="1"/>
        <v>46093</v>
      </c>
      <c r="D28" s="129"/>
      <c r="E28" s="129"/>
      <c r="F28" s="129"/>
      <c r="G28" s="129"/>
      <c r="H28" s="138"/>
      <c r="I28" s="131"/>
      <c r="J28" s="137"/>
      <c r="K28" s="133"/>
    </row>
    <row r="29">
      <c r="A29" s="126"/>
      <c r="B29" s="133"/>
      <c r="C29" s="134">
        <f t="shared" si="1"/>
        <v>46094</v>
      </c>
      <c r="D29" s="129"/>
      <c r="E29" s="129"/>
      <c r="F29" s="129"/>
      <c r="G29" s="129"/>
      <c r="H29" s="135"/>
      <c r="I29" s="136"/>
      <c r="J29" s="137"/>
      <c r="K29" s="133"/>
    </row>
    <row r="30">
      <c r="A30" s="126"/>
      <c r="B30" s="133"/>
      <c r="C30" s="128">
        <f t="shared" si="1"/>
        <v>46095</v>
      </c>
      <c r="D30" s="129"/>
      <c r="E30" s="129"/>
      <c r="F30" s="129"/>
      <c r="G30" s="129"/>
      <c r="H30" s="138"/>
      <c r="I30" s="131"/>
      <c r="J30" s="137"/>
      <c r="K30" s="133"/>
    </row>
    <row r="31">
      <c r="A31" s="126"/>
      <c r="B31" s="133"/>
      <c r="C31" s="134">
        <f t="shared" si="1"/>
        <v>46096</v>
      </c>
      <c r="D31" s="129"/>
      <c r="E31" s="129"/>
      <c r="F31" s="129"/>
      <c r="G31" s="129"/>
      <c r="H31" s="135"/>
      <c r="I31" s="136"/>
      <c r="J31" s="137"/>
      <c r="K31" s="133"/>
    </row>
    <row r="32">
      <c r="A32" s="126"/>
      <c r="B32" s="133"/>
      <c r="C32" s="128">
        <f t="shared" si="1"/>
        <v>46097</v>
      </c>
      <c r="D32" s="129"/>
      <c r="E32" s="129"/>
      <c r="F32" s="129"/>
      <c r="G32" s="129"/>
      <c r="H32" s="138"/>
      <c r="I32" s="131"/>
      <c r="J32" s="137"/>
      <c r="K32" s="133"/>
    </row>
    <row r="33">
      <c r="A33" s="126"/>
      <c r="B33" s="133"/>
      <c r="C33" s="134">
        <f t="shared" si="1"/>
        <v>46098</v>
      </c>
      <c r="D33" s="129"/>
      <c r="E33" s="129"/>
      <c r="F33" s="129"/>
      <c r="G33" s="129"/>
      <c r="H33" s="135"/>
      <c r="I33" s="136"/>
      <c r="J33" s="137"/>
      <c r="K33" s="133"/>
    </row>
    <row r="34">
      <c r="A34" s="126"/>
      <c r="B34" s="133"/>
      <c r="C34" s="128">
        <f t="shared" si="1"/>
        <v>46099</v>
      </c>
      <c r="D34" s="129"/>
      <c r="E34" s="129"/>
      <c r="F34" s="129"/>
      <c r="G34" s="129"/>
      <c r="H34" s="138"/>
      <c r="I34" s="131"/>
      <c r="J34" s="137"/>
      <c r="K34" s="133"/>
    </row>
    <row r="35">
      <c r="A35" s="126"/>
      <c r="B35" s="133"/>
      <c r="C35" s="128">
        <f t="shared" si="1"/>
        <v>46100</v>
      </c>
      <c r="D35" s="129"/>
      <c r="E35" s="129"/>
      <c r="F35" s="129"/>
      <c r="G35" s="129"/>
      <c r="H35" s="139"/>
      <c r="I35" s="136"/>
      <c r="J35" s="137"/>
      <c r="K35" s="133"/>
    </row>
    <row r="36">
      <c r="A36" s="126"/>
      <c r="B36" s="133"/>
      <c r="C36" s="128">
        <f t="shared" si="1"/>
        <v>46101</v>
      </c>
      <c r="D36" s="129"/>
      <c r="E36" s="129"/>
      <c r="F36" s="129"/>
      <c r="G36" s="129"/>
      <c r="H36" s="141"/>
      <c r="I36" s="131"/>
      <c r="J36" s="137"/>
      <c r="K36" s="133"/>
    </row>
    <row r="37">
      <c r="A37" s="126"/>
      <c r="B37" s="133"/>
      <c r="C37" s="134">
        <f t="shared" si="1"/>
        <v>46102</v>
      </c>
      <c r="D37" s="129"/>
      <c r="E37" s="129"/>
      <c r="F37" s="129"/>
      <c r="G37" s="129"/>
      <c r="H37" s="139"/>
      <c r="I37" s="136"/>
      <c r="J37" s="137"/>
      <c r="K37" s="133"/>
    </row>
    <row r="38">
      <c r="A38" s="126"/>
      <c r="B38" s="133"/>
      <c r="C38" s="128">
        <f t="shared" si="1"/>
        <v>46103</v>
      </c>
      <c r="D38" s="129"/>
      <c r="E38" s="129"/>
      <c r="F38" s="129"/>
      <c r="G38" s="129"/>
      <c r="H38" s="138"/>
      <c r="I38" s="131"/>
      <c r="J38" s="137"/>
      <c r="K38" s="133"/>
    </row>
    <row r="39">
      <c r="A39" s="126"/>
      <c r="B39" s="133"/>
      <c r="C39" s="134">
        <f t="shared" si="1"/>
        <v>46104</v>
      </c>
      <c r="D39" s="129"/>
      <c r="E39" s="129"/>
      <c r="F39" s="129"/>
      <c r="G39" s="129"/>
      <c r="H39" s="135"/>
      <c r="I39" s="136"/>
      <c r="J39" s="137"/>
      <c r="K39" s="133"/>
    </row>
    <row r="40">
      <c r="A40" s="126"/>
      <c r="B40" s="133"/>
      <c r="C40" s="128">
        <f t="shared" si="1"/>
        <v>46105</v>
      </c>
      <c r="D40" s="129"/>
      <c r="E40" s="129"/>
      <c r="F40" s="129"/>
      <c r="G40" s="129"/>
      <c r="H40" s="138"/>
      <c r="I40" s="131"/>
      <c r="J40" s="137"/>
      <c r="K40" s="133"/>
    </row>
    <row r="41">
      <c r="A41" s="126"/>
      <c r="B41" s="133"/>
      <c r="C41" s="134">
        <f t="shared" si="1"/>
        <v>46106</v>
      </c>
      <c r="D41" s="129"/>
      <c r="E41" s="129"/>
      <c r="F41" s="129"/>
      <c r="G41" s="129"/>
      <c r="H41" s="135"/>
      <c r="I41" s="136"/>
      <c r="J41" s="137"/>
      <c r="K41" s="133"/>
    </row>
    <row r="42">
      <c r="A42" s="126"/>
      <c r="B42" s="133"/>
      <c r="C42" s="128">
        <f t="shared" si="1"/>
        <v>46107</v>
      </c>
      <c r="D42" s="129"/>
      <c r="E42" s="129"/>
      <c r="F42" s="129"/>
      <c r="G42" s="129"/>
      <c r="H42" s="138"/>
      <c r="I42" s="131"/>
      <c r="J42" s="137"/>
      <c r="K42" s="133"/>
    </row>
    <row r="43">
      <c r="A43" s="126"/>
      <c r="B43" s="133"/>
      <c r="C43" s="134">
        <f t="shared" si="1"/>
        <v>46108</v>
      </c>
      <c r="D43" s="129"/>
      <c r="E43" s="129"/>
      <c r="F43" s="129"/>
      <c r="G43" s="129"/>
      <c r="H43" s="139"/>
      <c r="I43" s="136"/>
      <c r="J43" s="137"/>
      <c r="K43" s="133"/>
    </row>
    <row r="44">
      <c r="A44" s="126"/>
      <c r="B44" s="133"/>
      <c r="C44" s="128">
        <f t="shared" si="1"/>
        <v>46109</v>
      </c>
      <c r="D44" s="129"/>
      <c r="E44" s="129"/>
      <c r="F44" s="129"/>
      <c r="G44" s="129"/>
      <c r="H44" s="138"/>
      <c r="I44" s="131"/>
      <c r="J44" s="137"/>
      <c r="K44" s="133"/>
    </row>
    <row r="45">
      <c r="A45" s="126"/>
      <c r="B45" s="133"/>
      <c r="C45" s="142"/>
      <c r="D45" s="143"/>
      <c r="E45" s="144"/>
      <c r="F45" s="144"/>
      <c r="G45" s="144"/>
      <c r="H45" s="145"/>
      <c r="I45" s="146"/>
      <c r="J45" s="147"/>
      <c r="K45" s="133"/>
    </row>
    <row r="46">
      <c r="A46" s="126"/>
      <c r="B46" s="133"/>
      <c r="C46" s="148"/>
      <c r="D46" s="149"/>
      <c r="E46" s="133"/>
      <c r="F46" s="133"/>
      <c r="G46" s="133"/>
      <c r="H46" s="133"/>
      <c r="I46" s="133"/>
      <c r="J46" s="126"/>
      <c r="K46" s="133"/>
    </row>
    <row r="47">
      <c r="A47" s="126"/>
      <c r="B47" s="133"/>
      <c r="C47" s="148"/>
      <c r="D47" s="149"/>
      <c r="E47" s="133"/>
      <c r="F47" s="133"/>
      <c r="G47" s="150"/>
      <c r="H47" s="133"/>
      <c r="I47" s="133"/>
      <c r="J47" s="126"/>
      <c r="K47" s="133"/>
    </row>
    <row r="48">
      <c r="A48" s="126"/>
      <c r="B48" s="151"/>
      <c r="C48" s="152"/>
      <c r="D48" s="153"/>
      <c r="E48" s="151"/>
      <c r="F48" s="151"/>
      <c r="G48" s="151"/>
      <c r="H48" s="151"/>
      <c r="I48" s="151"/>
      <c r="J48" s="154"/>
      <c r="K48" s="133"/>
    </row>
    <row r="49">
      <c r="A49" s="133"/>
      <c r="B49" s="133"/>
      <c r="C49" s="148"/>
      <c r="D49" s="149"/>
      <c r="E49" s="133"/>
      <c r="F49" s="133"/>
      <c r="G49" s="133"/>
      <c r="H49" s="133"/>
      <c r="I49" s="133"/>
      <c r="J49" s="133"/>
      <c r="K49" s="133"/>
    </row>
    <row r="50">
      <c r="A50" s="133"/>
      <c r="B50" s="133"/>
      <c r="C50" s="148"/>
      <c r="D50" s="149"/>
      <c r="E50" s="133"/>
      <c r="F50" s="133"/>
      <c r="G50" s="133"/>
      <c r="H50" s="133"/>
      <c r="I50" s="133"/>
      <c r="J50" s="133"/>
      <c r="K50" s="133"/>
    </row>
    <row r="51">
      <c r="A51" s="133"/>
      <c r="B51" s="133"/>
      <c r="C51" s="148"/>
      <c r="D51" s="149"/>
      <c r="E51" s="133"/>
      <c r="F51" s="133"/>
      <c r="G51" s="133"/>
      <c r="H51" s="133"/>
      <c r="I51" s="133"/>
      <c r="J51" s="133"/>
      <c r="K51" s="133"/>
    </row>
  </sheetData>
  <mergeCells count="38">
    <mergeCell ref="C3:I3"/>
    <mergeCell ref="C4:G5"/>
    <mergeCell ref="H4:I5"/>
    <mergeCell ref="H6:I6"/>
    <mergeCell ref="C8:F8"/>
    <mergeCell ref="H13:I13"/>
    <mergeCell ref="H14:I14"/>
    <mergeCell ref="H15:I15"/>
    <mergeCell ref="H16:I16"/>
    <mergeCell ref="H17:I17"/>
    <mergeCell ref="H18:I18"/>
    <mergeCell ref="H19:I19"/>
    <mergeCell ref="H20:I20"/>
    <mergeCell ref="H21:I21"/>
    <mergeCell ref="H22:I22"/>
    <mergeCell ref="H23:I23"/>
    <mergeCell ref="H24:I24"/>
    <mergeCell ref="H25:I25"/>
    <mergeCell ref="H26:I26"/>
    <mergeCell ref="H27:I27"/>
    <mergeCell ref="H28:I28"/>
    <mergeCell ref="H29:I29"/>
    <mergeCell ref="H30:I30"/>
    <mergeCell ref="H31:I31"/>
    <mergeCell ref="H32:I32"/>
    <mergeCell ref="H33:I33"/>
    <mergeCell ref="H34:I34"/>
    <mergeCell ref="H35:I35"/>
    <mergeCell ref="H43:I43"/>
    <mergeCell ref="H44:I44"/>
    <mergeCell ref="H45:I45"/>
    <mergeCell ref="H36:I36"/>
    <mergeCell ref="H37:I37"/>
    <mergeCell ref="H38:I38"/>
    <mergeCell ref="H39:I39"/>
    <mergeCell ref="H40:I40"/>
    <mergeCell ref="H41:I41"/>
    <mergeCell ref="H42:I42"/>
  </mergeCells>
  <conditionalFormatting sqref="D14:G44">
    <cfRule type="expression" dxfId="2" priority="1">
      <formula>INDIRECT("André!E" &amp; (ROW() + 6)) &lt;&gt; ""</formula>
    </cfRule>
  </conditionalFormatting>
  <conditionalFormatting sqref="C14:I44">
    <cfRule type="expression" dxfId="3" priority="2">
      <formula>$J$13=C14</formula>
    </cfRule>
  </conditionalFormatting>
  <printOptions gridLines="1" horizontalCentered="1"/>
  <pageMargins bottom="0.75" footer="0.0" header="0.0" left="0.7" right="0.7" top="0.75"/>
  <pageSetup fitToHeight="0" cellComments="atEnd" orientation="portrait" pageOrder="overThenDown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A4335"/>
    <outlinePr summaryBelow="0" summaryRight="0"/>
    <pageSetUpPr fitToPage="1"/>
  </sheetPr>
  <sheetViews>
    <sheetView showGridLines="0" workbookViewId="0"/>
  </sheetViews>
  <sheetFormatPr customHeight="1" defaultColWidth="12.63" defaultRowHeight="15.75"/>
  <cols>
    <col customWidth="1" min="1" max="2" width="2.75"/>
    <col customWidth="1" min="3" max="11" width="12.63"/>
    <col customWidth="1" min="12" max="12" width="17.5"/>
    <col customWidth="1" min="13" max="13" width="40.13"/>
    <col customWidth="1" min="14" max="15" width="2.75"/>
  </cols>
  <sheetData>
    <row r="1">
      <c r="A1" s="155"/>
      <c r="B1" s="155"/>
      <c r="C1" s="155"/>
      <c r="D1" s="155"/>
      <c r="E1" s="155"/>
      <c r="F1" s="155"/>
      <c r="G1" s="155"/>
      <c r="H1" s="155"/>
      <c r="I1" s="155"/>
      <c r="J1" s="155"/>
      <c r="K1" s="155"/>
      <c r="L1" s="155"/>
      <c r="M1" s="155"/>
      <c r="N1" s="155"/>
      <c r="O1" s="155"/>
    </row>
    <row r="2">
      <c r="A2" s="156"/>
      <c r="B2" s="157"/>
      <c r="C2" s="157"/>
      <c r="D2" s="157"/>
      <c r="E2" s="157"/>
      <c r="F2" s="157"/>
      <c r="G2" s="157"/>
      <c r="H2" s="157"/>
      <c r="I2" s="157"/>
      <c r="J2" s="157"/>
      <c r="K2" s="157"/>
      <c r="L2" s="157"/>
      <c r="M2" s="157"/>
      <c r="N2" s="158"/>
      <c r="O2" s="155"/>
    </row>
    <row r="3" ht="51.0" customHeight="1">
      <c r="A3" s="156"/>
      <c r="B3" s="155"/>
      <c r="C3" s="159" t="s">
        <v>22</v>
      </c>
      <c r="L3" s="160" t="s">
        <v>23</v>
      </c>
      <c r="N3" s="156"/>
      <c r="O3" s="155"/>
    </row>
    <row r="4">
      <c r="A4" s="156"/>
      <c r="B4" s="155"/>
      <c r="N4" s="156"/>
      <c r="O4" s="155"/>
    </row>
    <row r="5">
      <c r="A5" s="156"/>
      <c r="B5" s="155"/>
      <c r="C5" s="161"/>
      <c r="D5" s="162"/>
      <c r="E5" s="161"/>
      <c r="F5" s="162"/>
      <c r="G5" s="161"/>
      <c r="H5" s="162"/>
      <c r="I5" s="161"/>
      <c r="J5" s="161"/>
      <c r="K5" s="161"/>
      <c r="N5" s="156"/>
      <c r="O5" s="155"/>
    </row>
    <row r="6">
      <c r="A6" s="156"/>
      <c r="B6" s="155"/>
      <c r="C6" s="163" t="s">
        <v>24</v>
      </c>
      <c r="D6" s="164">
        <f>IFERROR(DATE(YEAR(H6), MONTH(H6)-1, 26), "")
</f>
        <v>46079</v>
      </c>
      <c r="E6" s="165" t="s">
        <v>11</v>
      </c>
      <c r="F6" s="164">
        <f>IFERROR(DATE(YEAR(H6), MONTH(H6), 25), "")
</f>
        <v>46106</v>
      </c>
      <c r="G6" s="161"/>
      <c r="H6" s="166">
        <f>'Calendário'!B2
</f>
        <v>46082</v>
      </c>
      <c r="I6" s="89"/>
      <c r="J6" s="90"/>
      <c r="K6" s="167"/>
      <c r="L6" s="168"/>
      <c r="N6" s="156"/>
      <c r="O6" s="155"/>
    </row>
    <row r="7">
      <c r="A7" s="156"/>
      <c r="B7" s="155"/>
      <c r="C7" s="161"/>
      <c r="D7" s="161"/>
      <c r="E7" s="161"/>
      <c r="F7" s="161"/>
      <c r="G7" s="161"/>
      <c r="H7" s="169"/>
      <c r="K7" s="161"/>
      <c r="L7" s="170" t="s">
        <v>25</v>
      </c>
      <c r="M7" s="171"/>
      <c r="N7" s="156"/>
      <c r="O7" s="155"/>
    </row>
    <row r="8">
      <c r="A8" s="156"/>
      <c r="B8" s="155"/>
      <c r="C8" s="172" t="s">
        <v>14</v>
      </c>
      <c r="D8" s="89"/>
      <c r="E8" s="89"/>
      <c r="F8" s="90"/>
      <c r="G8" s="161"/>
      <c r="H8" s="173" t="s">
        <v>26</v>
      </c>
      <c r="I8" s="89"/>
      <c r="J8" s="90"/>
      <c r="K8" s="161"/>
      <c r="L8" s="163" t="s">
        <v>27</v>
      </c>
      <c r="M8" s="174" t="s">
        <v>28</v>
      </c>
      <c r="N8" s="156"/>
      <c r="O8" s="155"/>
    </row>
    <row r="9">
      <c r="A9" s="156"/>
      <c r="B9" s="155"/>
      <c r="C9" s="175" t="s">
        <v>16</v>
      </c>
      <c r="D9" s="175" t="s">
        <v>19</v>
      </c>
      <c r="E9" s="175" t="s">
        <v>16</v>
      </c>
      <c r="F9" s="175" t="s">
        <v>19</v>
      </c>
      <c r="G9" s="161"/>
      <c r="H9" s="113" t="s">
        <v>29</v>
      </c>
      <c r="I9" s="113" t="s">
        <v>30</v>
      </c>
      <c r="J9" s="113" t="s">
        <v>31</v>
      </c>
      <c r="K9" s="161"/>
      <c r="L9" s="176" t="s">
        <v>32</v>
      </c>
      <c r="M9" s="177">
        <v>2.0</v>
      </c>
      <c r="N9" s="156"/>
      <c r="O9" s="155"/>
    </row>
    <row r="10">
      <c r="A10" s="156"/>
      <c r="B10" s="155"/>
      <c r="C10" s="178">
        <v>0.375</v>
      </c>
      <c r="D10" s="178">
        <v>0.4583333333333333</v>
      </c>
      <c r="E10" s="178">
        <v>0.5166666666666667</v>
      </c>
      <c r="F10" s="179">
        <v>45870.58475570602</v>
      </c>
      <c r="G10" s="180"/>
      <c r="H10" s="181">
        <f t="shared" ref="H10:I10" si="1">SUM(K20:K50)</f>
        <v>0</v>
      </c>
      <c r="I10" s="179">
        <f t="shared" si="1"/>
        <v>0</v>
      </c>
      <c r="J10" s="182">
        <f>H10-I10</f>
        <v>0</v>
      </c>
      <c r="K10" s="161"/>
      <c r="L10" s="183"/>
      <c r="N10" s="184"/>
    </row>
    <row r="11">
      <c r="A11" s="156"/>
      <c r="B11" s="155"/>
      <c r="C11" s="161"/>
      <c r="D11" s="161"/>
      <c r="E11" s="161"/>
      <c r="F11" s="161"/>
      <c r="G11" s="161"/>
      <c r="H11" s="161"/>
      <c r="I11" s="161"/>
      <c r="J11" s="161"/>
      <c r="K11" s="161"/>
      <c r="L11" s="185"/>
      <c r="M11" s="185"/>
      <c r="N11" s="156"/>
      <c r="O11" s="155"/>
    </row>
    <row r="12">
      <c r="A12" s="156"/>
      <c r="B12" s="155"/>
      <c r="C12" s="172" t="s">
        <v>33</v>
      </c>
      <c r="D12" s="89"/>
      <c r="E12" s="89"/>
      <c r="F12" s="90"/>
      <c r="G12" s="161"/>
      <c r="H12" s="172" t="s">
        <v>34</v>
      </c>
      <c r="I12" s="90"/>
      <c r="J12" s="185"/>
      <c r="K12" s="161"/>
      <c r="L12" s="183"/>
      <c r="M12" s="186"/>
      <c r="N12" s="156"/>
      <c r="O12" s="155"/>
    </row>
    <row r="13">
      <c r="A13" s="156"/>
      <c r="B13" s="155"/>
      <c r="C13" s="113" t="s">
        <v>35</v>
      </c>
      <c r="D13" s="187" t="s">
        <v>36</v>
      </c>
      <c r="E13" s="113" t="s">
        <v>37</v>
      </c>
      <c r="F13" s="187" t="s">
        <v>38</v>
      </c>
      <c r="G13" s="161"/>
      <c r="H13" s="188" t="s">
        <v>39</v>
      </c>
      <c r="I13" s="129" t="s">
        <v>40</v>
      </c>
      <c r="J13" s="185"/>
      <c r="K13" s="161"/>
      <c r="L13" s="189"/>
      <c r="M13" s="186"/>
      <c r="N13" s="156"/>
      <c r="O13" s="155"/>
    </row>
    <row r="14">
      <c r="A14" s="156"/>
      <c r="B14" s="155"/>
      <c r="C14" s="165">
        <f>COUNTBLANK(E20:E50)
</f>
        <v>25</v>
      </c>
      <c r="D14" s="165">
        <f>NETWORKDAYS(D6,F6)</f>
        <v>20</v>
      </c>
      <c r="E14" s="165">
        <f>C14-D14</f>
        <v>5</v>
      </c>
      <c r="F14" s="165">
        <f>COUNTIF($E$20:$E$50,"Feriado")
</f>
        <v>0</v>
      </c>
      <c r="G14" s="161"/>
      <c r="H14" s="190">
        <v>0.31666666666666665</v>
      </c>
      <c r="I14" s="190">
        <v>0.16666666666666666</v>
      </c>
      <c r="J14" s="191"/>
      <c r="K14" s="161"/>
      <c r="L14" s="186"/>
      <c r="M14" s="186"/>
      <c r="N14" s="156"/>
      <c r="O14" s="155"/>
    </row>
    <row r="15">
      <c r="A15" s="156"/>
      <c r="B15" s="155"/>
      <c r="C15" s="161"/>
      <c r="D15" s="161"/>
      <c r="E15" s="161"/>
      <c r="F15" s="161"/>
      <c r="G15" s="161"/>
      <c r="H15" s="161"/>
      <c r="I15" s="161"/>
      <c r="J15" s="161"/>
      <c r="K15" s="161"/>
      <c r="L15" s="186"/>
      <c r="M15" s="186"/>
      <c r="N15" s="156"/>
      <c r="O15" s="155"/>
    </row>
    <row r="16">
      <c r="A16" s="156"/>
      <c r="B16" s="155"/>
      <c r="C16" s="185"/>
      <c r="D16" s="185"/>
      <c r="E16" s="185"/>
      <c r="F16" s="185"/>
      <c r="G16" s="161"/>
      <c r="H16" s="185"/>
      <c r="K16" s="161"/>
      <c r="L16" s="186"/>
      <c r="M16" s="186"/>
      <c r="N16" s="156"/>
      <c r="O16" s="155"/>
    </row>
    <row r="17">
      <c r="A17" s="156"/>
      <c r="B17" s="155"/>
      <c r="C17" s="161"/>
      <c r="D17" s="161"/>
      <c r="E17" s="161"/>
      <c r="F17" s="161"/>
      <c r="G17" s="161"/>
      <c r="H17" s="161"/>
      <c r="I17" s="161"/>
      <c r="J17" s="192"/>
      <c r="K17" s="192"/>
      <c r="L17" s="186"/>
      <c r="M17" s="186"/>
      <c r="N17" s="156"/>
      <c r="O17" s="155"/>
    </row>
    <row r="18">
      <c r="A18" s="156"/>
      <c r="B18" s="155"/>
      <c r="C18" s="193" t="s">
        <v>41</v>
      </c>
      <c r="D18" s="89"/>
      <c r="E18" s="90"/>
      <c r="F18" s="193" t="s">
        <v>42</v>
      </c>
      <c r="G18" s="89"/>
      <c r="H18" s="89"/>
      <c r="I18" s="90"/>
      <c r="J18" s="193" t="s">
        <v>43</v>
      </c>
      <c r="K18" s="89"/>
      <c r="L18" s="90"/>
      <c r="M18" s="194"/>
      <c r="N18" s="156"/>
      <c r="O18" s="155"/>
    </row>
    <row r="19">
      <c r="A19" s="156"/>
      <c r="B19" s="155"/>
      <c r="C19" s="195" t="s">
        <v>20</v>
      </c>
      <c r="D19" s="196" t="s">
        <v>44</v>
      </c>
      <c r="E19" s="195" t="s">
        <v>45</v>
      </c>
      <c r="F19" s="195" t="s">
        <v>16</v>
      </c>
      <c r="G19" s="196" t="s">
        <v>17</v>
      </c>
      <c r="H19" s="196" t="s">
        <v>18</v>
      </c>
      <c r="I19" s="195" t="s">
        <v>19</v>
      </c>
      <c r="J19" s="195" t="s">
        <v>46</v>
      </c>
      <c r="K19" s="197" t="s">
        <v>29</v>
      </c>
      <c r="L19" s="195" t="s">
        <v>30</v>
      </c>
      <c r="M19" s="195" t="s">
        <v>47</v>
      </c>
      <c r="N19" s="156"/>
      <c r="O19" s="155"/>
    </row>
    <row r="20">
      <c r="A20" s="198"/>
      <c r="B20" s="199"/>
      <c r="C20" s="200">
        <f>DATE(YEAR(H6), MONTH(H6)-1, 26)
</f>
        <v>46079</v>
      </c>
      <c r="D20" s="201">
        <f t="shared" ref="D20:D50" si="2">IF(C20="","",WEEKDAY(C20,1))</f>
        <v>5</v>
      </c>
      <c r="E20" s="202" t="str">
        <f t="array" ref="E20">IF(MOD(M$9, 2) = 1, 
    IF(INDEX('Calendário'!$C$6:$C$36, ROW()-ROW($D$20)+1) &lt;&gt; "", 
        INDEX('Calendário'!$C$6:$C$36, ROW()-ROW($D$20)+1), 
        IF(OR(WEEKDAY(C20,2)=7, AND(WEEKDAY(C20,2)=6, MOD(SUMPRODUCT(--(WEEKDAY($C$20:C20,2)=6)),2)&lt;&gt;0)), 
           "Folga", 
           "")
    ),
    IF(INDEX('Calendário'!$C$6:$C$36, ROW()-ROW($D$20)+1) &lt;&gt; "", 
        INDEX('Calendário'!$C$6:$C$36, ROW()-ROW($D$20)+1), 
        IF(OR(WEEKDAY(C20,2)=7, AND(WEEKDAY(C20,2)=6, MOD(SUMPRODUCT(--(WEEKDAY($C$20:C20,2)=6)),2)=0)), 
           "Folga", 
           "")
    )
)
</f>
        <v/>
      </c>
      <c r="F20" s="203"/>
      <c r="G20" s="204"/>
      <c r="H20" s="204"/>
      <c r="I20" s="204"/>
      <c r="J20" s="205">
        <f t="shared" ref="J20:J50" si="3">IF(AND(F20&lt;&gt;"", I20&lt;&gt;"" ), (I20-F20)-(H20-G20), 0)
</f>
        <v>0</v>
      </c>
      <c r="K20" s="206">
        <f t="shared" ref="K20:K50" si="4">IF(AND(F20&lt;&gt;"", I20&lt;&gt;"" ), IF(E20 &lt;&gt; "", IF(J20 &gt; TIME(0, 0, 0), MAX(0, J20 * 2), TIME(0, 0, 0) ), IF(WEEKDAY(D20, 2) &lt;&gt; 6, IF(J20 - IF(WEEKDAY(D20, 2) = 6, I$14, H$14) &lt;= TIME(0, 5, 0), TIME(0, 0, 0), MAX(0, J20 - IF(WEEKDAY(D20, 2) = 6, I$14, H$14)) ), MAX(0, J20 - IF(WEEKDAY(D20, 2) = 6, I$14, H$14)) ) ), 0)
</f>
        <v>0</v>
      </c>
      <c r="L20" s="207">
        <f t="shared" ref="L20:L50" si="5">IF(AND(F20&lt;&gt;"", I20&lt;&gt;""), IF(IF(WEEKDAY(D20,2)=6, I$14, H$14) - J20 &lt;= TIME(0,5,0), TIME(0,0,0), IF(IF(WEEKDAY(D20,2)=6, I$14, H$14) - J20 &lt; 0, 0, IF(E20&lt;&gt;"", 0, IF(WEEKDAY(D20,2)=6, I$14, H$14) - J20))), 0)
</f>
        <v>0</v>
      </c>
      <c r="M20" s="208"/>
      <c r="N20" s="198"/>
      <c r="O20" s="199"/>
    </row>
    <row r="21">
      <c r="A21" s="198"/>
      <c r="B21" s="199"/>
      <c r="C21" s="209">
        <f t="shared" ref="C21:C50" si="6">C20+1</f>
        <v>46080</v>
      </c>
      <c r="D21" s="210">
        <f t="shared" si="2"/>
        <v>6</v>
      </c>
      <c r="E21" s="202" t="str">
        <f t="array" ref="E21">IF(MOD(M$9, 2) = 1, 
    IF(INDEX('Calendário'!$C$6:$C$36, ROW()-ROW($D$20)+1) &lt;&gt; "", 
        INDEX('Calendário'!$C$6:$C$36, ROW()-ROW($D$20)+1), 
        IF(OR(WEEKDAY(C21,2)=7, AND(WEEKDAY(C21,2)=6, MOD(SUMPRODUCT(--(WEEKDAY($C$20:C21,2)=6)),2)&lt;&gt;0)), 
           "Folga", 
           "")
    ),
    IF(INDEX('Calendário'!$C$6:$C$36, ROW()-ROW($D$20)+1) &lt;&gt; "", 
        INDEX('Calendário'!$C$6:$C$36, ROW()-ROW($D$20)+1), 
        IF(OR(WEEKDAY(C21,2)=7, AND(WEEKDAY(C21,2)=6, MOD(SUMPRODUCT(--(WEEKDAY($C$20:C21,2)=6)),2)=0)), 
           "Folga", 
           "")
    )
)
</f>
        <v/>
      </c>
      <c r="F21" s="204"/>
      <c r="G21" s="203"/>
      <c r="H21" s="204"/>
      <c r="I21" s="211"/>
      <c r="J21" s="205">
        <f t="shared" si="3"/>
        <v>0</v>
      </c>
      <c r="K21" s="212">
        <f t="shared" si="4"/>
        <v>0</v>
      </c>
      <c r="L21" s="207">
        <f t="shared" si="5"/>
        <v>0</v>
      </c>
      <c r="M21" s="213"/>
      <c r="N21" s="198"/>
      <c r="O21" s="199"/>
    </row>
    <row r="22">
      <c r="A22" s="198"/>
      <c r="B22" s="199"/>
      <c r="C22" s="209">
        <f t="shared" si="6"/>
        <v>46081</v>
      </c>
      <c r="D22" s="210">
        <f t="shared" si="2"/>
        <v>7</v>
      </c>
      <c r="E22" s="202" t="str">
        <f t="array" ref="E22">IF(MOD(M$9, 2) = 1, 
    IF(INDEX('Calendário'!$C$6:$C$36, ROW()-ROW($D$20)+1) &lt;&gt; "", 
        INDEX('Calendário'!$C$6:$C$36, ROW()-ROW($D$20)+1), 
        IF(OR(WEEKDAY(C22,2)=7, AND(WEEKDAY(C22,2)=6, MOD(SUMPRODUCT(--(WEEKDAY($C$20:C22,2)=6)),2)&lt;&gt;0)), 
           "Folga", 
           "")
    ),
    IF(INDEX('Calendário'!$C$6:$C$36, ROW()-ROW($D$20)+1) &lt;&gt; "", 
        INDEX('Calendário'!$C$6:$C$36, ROW()-ROW($D$20)+1), 
        IF(OR(WEEKDAY(C22,2)=7, AND(WEEKDAY(C22,2)=6, MOD(SUMPRODUCT(--(WEEKDAY($C$20:C22,2)=6)),2)=0)), 
           "Folga", 
           "")
    )
)
</f>
        <v/>
      </c>
      <c r="F22" s="211"/>
      <c r="G22" s="214"/>
      <c r="H22" s="211"/>
      <c r="I22" s="211"/>
      <c r="J22" s="205">
        <f t="shared" si="3"/>
        <v>0</v>
      </c>
      <c r="K22" s="206">
        <f t="shared" si="4"/>
        <v>0</v>
      </c>
      <c r="L22" s="207">
        <f t="shared" si="5"/>
        <v>0</v>
      </c>
      <c r="M22" s="213"/>
      <c r="N22" s="198"/>
      <c r="O22" s="199"/>
    </row>
    <row r="23">
      <c r="A23" s="198"/>
      <c r="B23" s="199"/>
      <c r="C23" s="209">
        <f t="shared" si="6"/>
        <v>46082</v>
      </c>
      <c r="D23" s="210">
        <f t="shared" si="2"/>
        <v>1</v>
      </c>
      <c r="E23" s="202" t="str">
        <f t="array" ref="E23">IF(MOD(M$9, 2) = 1, 
    IF(INDEX('Calendário'!$C$6:$C$36, ROW()-ROW($D$20)+1) &lt;&gt; "", 
        INDEX('Calendário'!$C$6:$C$36, ROW()-ROW($D$20)+1), 
        IF(OR(WEEKDAY(C23,2)=7, AND(WEEKDAY(C23,2)=6, MOD(SUMPRODUCT(--(WEEKDAY($C$20:C23,2)=6)),2)&lt;&gt;0)), 
           "Folga", 
           "")
    ),
    IF(INDEX('Calendário'!$C$6:$C$36, ROW()-ROW($D$20)+1) &lt;&gt; "", 
        INDEX('Calendário'!$C$6:$C$36, ROW()-ROW($D$20)+1), 
        IF(OR(WEEKDAY(C23,2)=7, AND(WEEKDAY(C23,2)=6, MOD(SUMPRODUCT(--(WEEKDAY($C$20:C23,2)=6)),2)=0)), 
           "Folga", 
           "")
    )
)
</f>
        <v>Folga</v>
      </c>
      <c r="F23" s="214"/>
      <c r="G23" s="211"/>
      <c r="H23" s="211"/>
      <c r="I23" s="214"/>
      <c r="J23" s="205">
        <f t="shared" si="3"/>
        <v>0</v>
      </c>
      <c r="K23" s="212">
        <f t="shared" si="4"/>
        <v>0</v>
      </c>
      <c r="L23" s="207">
        <f t="shared" si="5"/>
        <v>0</v>
      </c>
      <c r="M23" s="213"/>
      <c r="N23" s="198"/>
      <c r="O23" s="199"/>
    </row>
    <row r="24">
      <c r="A24" s="198"/>
      <c r="B24" s="199"/>
      <c r="C24" s="209">
        <f t="shared" si="6"/>
        <v>46083</v>
      </c>
      <c r="D24" s="210">
        <f t="shared" si="2"/>
        <v>2</v>
      </c>
      <c r="E24" s="202" t="str">
        <f t="array" ref="E24">IF(MOD(M$9, 2) = 1, 
    IF(INDEX('Calendário'!$C$6:$C$36, ROW()-ROW($D$20)+1) &lt;&gt; "", 
        INDEX('Calendário'!$C$6:$C$36, ROW()-ROW($D$20)+1), 
        IF(OR(WEEKDAY(C24,2)=7, AND(WEEKDAY(C24,2)=6, MOD(SUMPRODUCT(--(WEEKDAY($C$20:C24,2)=6)),2)&lt;&gt;0)), 
           "Folga", 
           "")
    ),
    IF(INDEX('Calendário'!$C$6:$C$36, ROW()-ROW($D$20)+1) &lt;&gt; "", 
        INDEX('Calendário'!$C$6:$C$36, ROW()-ROW($D$20)+1), 
        IF(OR(WEEKDAY(C24,2)=7, AND(WEEKDAY(C24,2)=6, MOD(SUMPRODUCT(--(WEEKDAY($C$20:C24,2)=6)),2)=0)), 
           "Folga", 
           "")
    )
)
</f>
        <v/>
      </c>
      <c r="F24" s="214"/>
      <c r="G24" s="211"/>
      <c r="H24" s="211"/>
      <c r="I24" s="211"/>
      <c r="J24" s="205">
        <f t="shared" si="3"/>
        <v>0</v>
      </c>
      <c r="K24" s="206">
        <f t="shared" si="4"/>
        <v>0</v>
      </c>
      <c r="L24" s="207">
        <f t="shared" si="5"/>
        <v>0</v>
      </c>
      <c r="M24" s="213"/>
      <c r="N24" s="198"/>
      <c r="O24" s="199"/>
    </row>
    <row r="25">
      <c r="A25" s="198"/>
      <c r="B25" s="199"/>
      <c r="C25" s="209">
        <f t="shared" si="6"/>
        <v>46084</v>
      </c>
      <c r="D25" s="210">
        <f t="shared" si="2"/>
        <v>3</v>
      </c>
      <c r="E25" s="202" t="str">
        <f t="array" ref="E25">IF(MOD(M$9, 2) = 1, 
    IF(INDEX('Calendário'!$C$6:$C$36, ROW()-ROW($D$20)+1) &lt;&gt; "", 
        INDEX('Calendário'!$C$6:$C$36, ROW()-ROW($D$20)+1), 
        IF(OR(WEEKDAY(C25,2)=7, AND(WEEKDAY(C25,2)=6, MOD(SUMPRODUCT(--(WEEKDAY($C$20:C25,2)=6)),2)&lt;&gt;0)), 
           "Folga", 
           "")
    ),
    IF(INDEX('Calendário'!$C$6:$C$36, ROW()-ROW($D$20)+1) &lt;&gt; "", 
        INDEX('Calendário'!$C$6:$C$36, ROW()-ROW($D$20)+1), 
        IF(OR(WEEKDAY(C25,2)=7, AND(WEEKDAY(C25,2)=6, MOD(SUMPRODUCT(--(WEEKDAY($C$20:C25,2)=6)),2)=0)), 
           "Folga", 
           "")
    )
)
</f>
        <v/>
      </c>
      <c r="F25" s="214"/>
      <c r="G25" s="211"/>
      <c r="H25" s="214"/>
      <c r="I25" s="211"/>
      <c r="J25" s="205">
        <f t="shared" si="3"/>
        <v>0</v>
      </c>
      <c r="K25" s="212">
        <f t="shared" si="4"/>
        <v>0</v>
      </c>
      <c r="L25" s="207">
        <f t="shared" si="5"/>
        <v>0</v>
      </c>
      <c r="M25" s="213"/>
      <c r="N25" s="198"/>
      <c r="O25" s="199"/>
    </row>
    <row r="26">
      <c r="A26" s="198"/>
      <c r="B26" s="199"/>
      <c r="C26" s="209">
        <f t="shared" si="6"/>
        <v>46085</v>
      </c>
      <c r="D26" s="210">
        <f t="shared" si="2"/>
        <v>4</v>
      </c>
      <c r="E26" s="202" t="str">
        <f t="array" ref="E26">IF(MOD(M$9, 2) = 1, 
    IF(INDEX('Calendário'!$C$6:$C$36, ROW()-ROW($D$20)+1) &lt;&gt; "", 
        INDEX('Calendário'!$C$6:$C$36, ROW()-ROW($D$20)+1), 
        IF(OR(WEEKDAY(C26,2)=7, AND(WEEKDAY(C26,2)=6, MOD(SUMPRODUCT(--(WEEKDAY($C$20:C26,2)=6)),2)&lt;&gt;0)), 
           "Folga", 
           "")
    ),
    IF(INDEX('Calendário'!$C$6:$C$36, ROW()-ROW($D$20)+1) &lt;&gt; "", 
        INDEX('Calendário'!$C$6:$C$36, ROW()-ROW($D$20)+1), 
        IF(OR(WEEKDAY(C26,2)=7, AND(WEEKDAY(C26,2)=6, MOD(SUMPRODUCT(--(WEEKDAY($C$20:C26,2)=6)),2)=0)), 
           "Folga", 
           "")
    )
)
</f>
        <v/>
      </c>
      <c r="F26" s="211"/>
      <c r="G26" s="211"/>
      <c r="H26" s="211"/>
      <c r="I26" s="211"/>
      <c r="J26" s="205">
        <f t="shared" si="3"/>
        <v>0</v>
      </c>
      <c r="K26" s="206">
        <f t="shared" si="4"/>
        <v>0</v>
      </c>
      <c r="L26" s="207">
        <f t="shared" si="5"/>
        <v>0</v>
      </c>
      <c r="M26" s="213"/>
      <c r="N26" s="198"/>
      <c r="O26" s="199"/>
    </row>
    <row r="27">
      <c r="A27" s="198"/>
      <c r="B27" s="199"/>
      <c r="C27" s="209">
        <f t="shared" si="6"/>
        <v>46086</v>
      </c>
      <c r="D27" s="210">
        <f t="shared" si="2"/>
        <v>5</v>
      </c>
      <c r="E27" s="202" t="str">
        <f t="array" ref="E27">IF(MOD(M$9, 2) = 1, 
    IF(INDEX('Calendário'!$C$6:$C$36, ROW()-ROW($D$20)+1) &lt;&gt; "", 
        INDEX('Calendário'!$C$6:$C$36, ROW()-ROW($D$20)+1), 
        IF(OR(WEEKDAY(C27,2)=7, AND(WEEKDAY(C27,2)=6, MOD(SUMPRODUCT(--(WEEKDAY($C$20:C27,2)=6)),2)&lt;&gt;0)), 
           "Folga", 
           "")
    ),
    IF(INDEX('Calendário'!$C$6:$C$36, ROW()-ROW($D$20)+1) &lt;&gt; "", 
        INDEX('Calendário'!$C$6:$C$36, ROW()-ROW($D$20)+1), 
        IF(OR(WEEKDAY(C27,2)=7, AND(WEEKDAY(C27,2)=6, MOD(SUMPRODUCT(--(WEEKDAY($C$20:C27,2)=6)),2)=0)), 
           "Folga", 
           "")
    )
)
</f>
        <v/>
      </c>
      <c r="F27" s="211"/>
      <c r="G27" s="211"/>
      <c r="H27" s="211"/>
      <c r="I27" s="211"/>
      <c r="J27" s="205">
        <f t="shared" si="3"/>
        <v>0</v>
      </c>
      <c r="K27" s="212">
        <f t="shared" si="4"/>
        <v>0</v>
      </c>
      <c r="L27" s="207">
        <f t="shared" si="5"/>
        <v>0</v>
      </c>
      <c r="M27" s="213"/>
      <c r="N27" s="198"/>
      <c r="O27" s="199"/>
    </row>
    <row r="28">
      <c r="A28" s="198"/>
      <c r="B28" s="199"/>
      <c r="C28" s="209">
        <f t="shared" si="6"/>
        <v>46087</v>
      </c>
      <c r="D28" s="210">
        <f t="shared" si="2"/>
        <v>6</v>
      </c>
      <c r="E28" s="202" t="str">
        <f t="array" ref="E28">IF(MOD(M$9, 2) = 1, 
    IF(INDEX('Calendário'!$C$6:$C$36, ROW()-ROW($D$20)+1) &lt;&gt; "", 
        INDEX('Calendário'!$C$6:$C$36, ROW()-ROW($D$20)+1), 
        IF(OR(WEEKDAY(C28,2)=7, AND(WEEKDAY(C28,2)=6, MOD(SUMPRODUCT(--(WEEKDAY($C$20:C28,2)=6)),2)&lt;&gt;0)), 
           "Folga", 
           "")
    ),
    IF(INDEX('Calendário'!$C$6:$C$36, ROW()-ROW($D$20)+1) &lt;&gt; "", 
        INDEX('Calendário'!$C$6:$C$36, ROW()-ROW($D$20)+1), 
        IF(OR(WEEKDAY(C28,2)=7, AND(WEEKDAY(C28,2)=6, MOD(SUMPRODUCT(--(WEEKDAY($C$20:C28,2)=6)),2)=0)), 
           "Folga", 
           "")
    )
)
</f>
        <v/>
      </c>
      <c r="F28" s="214"/>
      <c r="G28" s="214"/>
      <c r="H28" s="214"/>
      <c r="I28" s="214"/>
      <c r="J28" s="205">
        <f t="shared" si="3"/>
        <v>0</v>
      </c>
      <c r="K28" s="206">
        <f t="shared" si="4"/>
        <v>0</v>
      </c>
      <c r="L28" s="207">
        <f t="shared" si="5"/>
        <v>0</v>
      </c>
      <c r="M28" s="213"/>
      <c r="N28" s="198"/>
      <c r="O28" s="199"/>
    </row>
    <row r="29">
      <c r="A29" s="198"/>
      <c r="B29" s="199"/>
      <c r="C29" s="209">
        <f t="shared" si="6"/>
        <v>46088</v>
      </c>
      <c r="D29" s="210">
        <f t="shared" si="2"/>
        <v>7</v>
      </c>
      <c r="E29" s="202" t="str">
        <f t="array" ref="E29">IF(MOD(M$9, 2) = 1, 
    IF(INDEX('Calendário'!$C$6:$C$36, ROW()-ROW($D$20)+1) &lt;&gt; "", 
        INDEX('Calendário'!$C$6:$C$36, ROW()-ROW($D$20)+1), 
        IF(OR(WEEKDAY(C29,2)=7, AND(WEEKDAY(C29,2)=6, MOD(SUMPRODUCT(--(WEEKDAY($C$20:C29,2)=6)),2)&lt;&gt;0)), 
           "Folga", 
           "")
    ),
    IF(INDEX('Calendário'!$C$6:$C$36, ROW()-ROW($D$20)+1) &lt;&gt; "", 
        INDEX('Calendário'!$C$6:$C$36, ROW()-ROW($D$20)+1), 
        IF(OR(WEEKDAY(C29,2)=7, AND(WEEKDAY(C29,2)=6, MOD(SUMPRODUCT(--(WEEKDAY($C$20:C29,2)=6)),2)=0)), 
           "Folga", 
           "")
    )
)
</f>
        <v>Folga</v>
      </c>
      <c r="F29" s="214"/>
      <c r="G29" s="214"/>
      <c r="H29" s="214"/>
      <c r="I29" s="211"/>
      <c r="J29" s="205">
        <f t="shared" si="3"/>
        <v>0</v>
      </c>
      <c r="K29" s="212">
        <f t="shared" si="4"/>
        <v>0</v>
      </c>
      <c r="L29" s="207">
        <f t="shared" si="5"/>
        <v>0</v>
      </c>
      <c r="M29" s="213"/>
      <c r="N29" s="198"/>
      <c r="O29" s="199"/>
    </row>
    <row r="30">
      <c r="A30" s="198"/>
      <c r="B30" s="199"/>
      <c r="C30" s="209">
        <f t="shared" si="6"/>
        <v>46089</v>
      </c>
      <c r="D30" s="210">
        <f t="shared" si="2"/>
        <v>1</v>
      </c>
      <c r="E30" s="202" t="str">
        <f t="array" ref="E30">IF(MOD(M$9, 2) = 1, 
    IF(INDEX('Calendário'!$C$6:$C$36, ROW()-ROW($D$20)+1) &lt;&gt; "", 
        INDEX('Calendário'!$C$6:$C$36, ROW()-ROW($D$20)+1), 
        IF(OR(WEEKDAY(C30,2)=7, AND(WEEKDAY(C30,2)=6, MOD(SUMPRODUCT(--(WEEKDAY($C$20:C30,2)=6)),2)&lt;&gt;0)), 
           "Folga", 
           "")
    ),
    IF(INDEX('Calendário'!$C$6:$C$36, ROW()-ROW($D$20)+1) &lt;&gt; "", 
        INDEX('Calendário'!$C$6:$C$36, ROW()-ROW($D$20)+1), 
        IF(OR(WEEKDAY(C30,2)=7, AND(WEEKDAY(C30,2)=6, MOD(SUMPRODUCT(--(WEEKDAY($C$20:C30,2)=6)),2)=0)), 
           "Folga", 
           "")
    )
)
</f>
        <v>Folga</v>
      </c>
      <c r="F30" s="214"/>
      <c r="G30" s="214"/>
      <c r="H30" s="214"/>
      <c r="I30" s="214"/>
      <c r="J30" s="205">
        <f t="shared" si="3"/>
        <v>0</v>
      </c>
      <c r="K30" s="206">
        <f t="shared" si="4"/>
        <v>0</v>
      </c>
      <c r="L30" s="207">
        <f t="shared" si="5"/>
        <v>0</v>
      </c>
      <c r="M30" s="213"/>
      <c r="N30" s="198"/>
      <c r="O30" s="199"/>
    </row>
    <row r="31">
      <c r="A31" s="198"/>
      <c r="B31" s="199"/>
      <c r="C31" s="209">
        <f t="shared" si="6"/>
        <v>46090</v>
      </c>
      <c r="D31" s="210">
        <f t="shared" si="2"/>
        <v>2</v>
      </c>
      <c r="E31" s="202" t="str">
        <f t="array" ref="E31">IF(MOD(M$9, 2) = 1, 
    IF(INDEX('Calendário'!$C$6:$C$36, ROW()-ROW($D$20)+1) &lt;&gt; "", 
        INDEX('Calendário'!$C$6:$C$36, ROW()-ROW($D$20)+1), 
        IF(OR(WEEKDAY(C31,2)=7, AND(WEEKDAY(C31,2)=6, MOD(SUMPRODUCT(--(WEEKDAY($C$20:C31,2)=6)),2)&lt;&gt;0)), 
           "Folga", 
           "")
    ),
    IF(INDEX('Calendário'!$C$6:$C$36, ROW()-ROW($D$20)+1) &lt;&gt; "", 
        INDEX('Calendário'!$C$6:$C$36, ROW()-ROW($D$20)+1), 
        IF(OR(WEEKDAY(C31,2)=7, AND(WEEKDAY(C31,2)=6, MOD(SUMPRODUCT(--(WEEKDAY($C$20:C31,2)=6)),2)=0)), 
           "Folga", 
           "")
    )
)
</f>
        <v/>
      </c>
      <c r="F31" s="214"/>
      <c r="G31" s="214"/>
      <c r="H31" s="214"/>
      <c r="I31" s="214"/>
      <c r="J31" s="205">
        <f t="shared" si="3"/>
        <v>0</v>
      </c>
      <c r="K31" s="212">
        <f t="shared" si="4"/>
        <v>0</v>
      </c>
      <c r="L31" s="207">
        <f t="shared" si="5"/>
        <v>0</v>
      </c>
      <c r="M31" s="213"/>
      <c r="N31" s="198"/>
      <c r="O31" s="199"/>
    </row>
    <row r="32">
      <c r="A32" s="198"/>
      <c r="B32" s="199"/>
      <c r="C32" s="209">
        <f t="shared" si="6"/>
        <v>46091</v>
      </c>
      <c r="D32" s="210">
        <f t="shared" si="2"/>
        <v>3</v>
      </c>
      <c r="E32" s="202" t="str">
        <f t="array" ref="E32">IF(MOD(M$9, 2) = 1, 
    IF(INDEX('Calendário'!$C$6:$C$36, ROW()-ROW($D$20)+1) &lt;&gt; "", 
        INDEX('Calendário'!$C$6:$C$36, ROW()-ROW($D$20)+1), 
        IF(OR(WEEKDAY(C32,2)=7, AND(WEEKDAY(C32,2)=6, MOD(SUMPRODUCT(--(WEEKDAY($C$20:C32,2)=6)),2)&lt;&gt;0)), 
           "Folga", 
           "")
    ),
    IF(INDEX('Calendário'!$C$6:$C$36, ROW()-ROW($D$20)+1) &lt;&gt; "", 
        INDEX('Calendário'!$C$6:$C$36, ROW()-ROW($D$20)+1), 
        IF(OR(WEEKDAY(C32,2)=7, AND(WEEKDAY(C32,2)=6, MOD(SUMPRODUCT(--(WEEKDAY($C$20:C32,2)=6)),2)=0)), 
           "Folga", 
           "")
    )
)
</f>
        <v/>
      </c>
      <c r="F32" s="214"/>
      <c r="G32" s="214"/>
      <c r="H32" s="211"/>
      <c r="I32" s="211"/>
      <c r="J32" s="205">
        <f t="shared" si="3"/>
        <v>0</v>
      </c>
      <c r="K32" s="206">
        <f t="shared" si="4"/>
        <v>0</v>
      </c>
      <c r="L32" s="207">
        <f t="shared" si="5"/>
        <v>0</v>
      </c>
      <c r="M32" s="213"/>
      <c r="N32" s="198"/>
      <c r="O32" s="199"/>
    </row>
    <row r="33">
      <c r="A33" s="198"/>
      <c r="B33" s="199"/>
      <c r="C33" s="209">
        <f t="shared" si="6"/>
        <v>46092</v>
      </c>
      <c r="D33" s="210">
        <f t="shared" si="2"/>
        <v>4</v>
      </c>
      <c r="E33" s="202" t="str">
        <f t="array" ref="E33">IF(MOD(M$9, 2) = 1, 
    IF(INDEX('Calendário'!$C$6:$C$36, ROW()-ROW($D$20)+1) &lt;&gt; "", 
        INDEX('Calendário'!$C$6:$C$36, ROW()-ROW($D$20)+1), 
        IF(OR(WEEKDAY(C33,2)=7, AND(WEEKDAY(C33,2)=6, MOD(SUMPRODUCT(--(WEEKDAY($C$20:C33,2)=6)),2)&lt;&gt;0)), 
           "Folga", 
           "")
    ),
    IF(INDEX('Calendário'!$C$6:$C$36, ROW()-ROW($D$20)+1) &lt;&gt; "", 
        INDEX('Calendário'!$C$6:$C$36, ROW()-ROW($D$20)+1), 
        IF(OR(WEEKDAY(C33,2)=7, AND(WEEKDAY(C33,2)=6, MOD(SUMPRODUCT(--(WEEKDAY($C$20:C33,2)=6)),2)=0)), 
           "Folga", 
           "")
    )
)
</f>
        <v/>
      </c>
      <c r="F33" s="214"/>
      <c r="G33" s="211"/>
      <c r="H33" s="211"/>
      <c r="I33" s="211"/>
      <c r="J33" s="205">
        <f t="shared" si="3"/>
        <v>0</v>
      </c>
      <c r="K33" s="212">
        <f t="shared" si="4"/>
        <v>0</v>
      </c>
      <c r="L33" s="207">
        <f t="shared" si="5"/>
        <v>0</v>
      </c>
      <c r="M33" s="213"/>
      <c r="N33" s="198"/>
      <c r="O33" s="199"/>
    </row>
    <row r="34">
      <c r="A34" s="198"/>
      <c r="B34" s="199"/>
      <c r="C34" s="209">
        <f t="shared" si="6"/>
        <v>46093</v>
      </c>
      <c r="D34" s="210">
        <f t="shared" si="2"/>
        <v>5</v>
      </c>
      <c r="E34" s="202" t="str">
        <f t="array" ref="E34">IF(MOD(M$9, 2) = 1, 
    IF(INDEX('Calendário'!$C$6:$C$36, ROW()-ROW($D$20)+1) &lt;&gt; "", 
        INDEX('Calendário'!$C$6:$C$36, ROW()-ROW($D$20)+1), 
        IF(OR(WEEKDAY(C34,2)=7, AND(WEEKDAY(C34,2)=6, MOD(SUMPRODUCT(--(WEEKDAY($C$20:C34,2)=6)),2)&lt;&gt;0)), 
           "Folga", 
           "")
    ),
    IF(INDEX('Calendário'!$C$6:$C$36, ROW()-ROW($D$20)+1) &lt;&gt; "", 
        INDEX('Calendário'!$C$6:$C$36, ROW()-ROW($D$20)+1), 
        IF(OR(WEEKDAY(C34,2)=7, AND(WEEKDAY(C34,2)=6, MOD(SUMPRODUCT(--(WEEKDAY($C$20:C34,2)=6)),2)=0)), 
           "Folga", 
           "")
    )
)
</f>
        <v/>
      </c>
      <c r="F34" s="214"/>
      <c r="G34" s="211"/>
      <c r="H34" s="211"/>
      <c r="I34" s="211"/>
      <c r="J34" s="205">
        <f t="shared" si="3"/>
        <v>0</v>
      </c>
      <c r="K34" s="206">
        <f t="shared" si="4"/>
        <v>0</v>
      </c>
      <c r="L34" s="207">
        <f t="shared" si="5"/>
        <v>0</v>
      </c>
      <c r="M34" s="213"/>
      <c r="N34" s="198"/>
      <c r="O34" s="199"/>
    </row>
    <row r="35">
      <c r="A35" s="198"/>
      <c r="B35" s="199"/>
      <c r="C35" s="209">
        <f t="shared" si="6"/>
        <v>46094</v>
      </c>
      <c r="D35" s="210">
        <f t="shared" si="2"/>
        <v>6</v>
      </c>
      <c r="E35" s="202" t="str">
        <f t="array" ref="E35">IF(MOD(M$9, 2) = 1, 
    IF(INDEX('Calendário'!$C$6:$C$36, ROW()-ROW($D$20)+1) &lt;&gt; "", 
        INDEX('Calendário'!$C$6:$C$36, ROW()-ROW($D$20)+1), 
        IF(OR(WEEKDAY(C35,2)=7, AND(WEEKDAY(C35,2)=6, MOD(SUMPRODUCT(--(WEEKDAY($C$20:C35,2)=6)),2)&lt;&gt;0)), 
           "Folga", 
           "")
    ),
    IF(INDEX('Calendário'!$C$6:$C$36, ROW()-ROW($D$20)+1) &lt;&gt; "", 
        INDEX('Calendário'!$C$6:$C$36, ROW()-ROW($D$20)+1), 
        IF(OR(WEEKDAY(C35,2)=7, AND(WEEKDAY(C35,2)=6, MOD(SUMPRODUCT(--(WEEKDAY($C$20:C35,2)=6)),2)=0)), 
           "Folga", 
           "")
    )
)
</f>
        <v/>
      </c>
      <c r="F35" s="214"/>
      <c r="G35" s="214"/>
      <c r="H35" s="214"/>
      <c r="I35" s="214"/>
      <c r="J35" s="205">
        <f t="shared" si="3"/>
        <v>0</v>
      </c>
      <c r="K35" s="212">
        <f t="shared" si="4"/>
        <v>0</v>
      </c>
      <c r="L35" s="207">
        <f t="shared" si="5"/>
        <v>0</v>
      </c>
      <c r="M35" s="213"/>
      <c r="N35" s="198"/>
      <c r="O35" s="199"/>
    </row>
    <row r="36">
      <c r="A36" s="198"/>
      <c r="B36" s="199"/>
      <c r="C36" s="209">
        <f t="shared" si="6"/>
        <v>46095</v>
      </c>
      <c r="D36" s="210">
        <f t="shared" si="2"/>
        <v>7</v>
      </c>
      <c r="E36" s="202" t="str">
        <f t="array" ref="E36">IF(MOD(M$9, 2) = 1, 
    IF(INDEX('Calendário'!$C$6:$C$36, ROW()-ROW($D$20)+1) &lt;&gt; "", 
        INDEX('Calendário'!$C$6:$C$36, ROW()-ROW($D$20)+1), 
        IF(OR(WEEKDAY(C36,2)=7, AND(WEEKDAY(C36,2)=6, MOD(SUMPRODUCT(--(WEEKDAY($C$20:C36,2)=6)),2)&lt;&gt;0)), 
           "Folga", 
           "")
    ),
    IF(INDEX('Calendário'!$C$6:$C$36, ROW()-ROW($D$20)+1) &lt;&gt; "", 
        INDEX('Calendário'!$C$6:$C$36, ROW()-ROW($D$20)+1), 
        IF(OR(WEEKDAY(C36,2)=7, AND(WEEKDAY(C36,2)=6, MOD(SUMPRODUCT(--(WEEKDAY($C$20:C36,2)=6)),2)=0)), 
           "Folga", 
           "")
    )
)
</f>
        <v/>
      </c>
      <c r="F36" s="214"/>
      <c r="G36" s="211"/>
      <c r="H36" s="211"/>
      <c r="I36" s="211"/>
      <c r="J36" s="205">
        <f t="shared" si="3"/>
        <v>0</v>
      </c>
      <c r="K36" s="206">
        <f t="shared" si="4"/>
        <v>0</v>
      </c>
      <c r="L36" s="207">
        <f t="shared" si="5"/>
        <v>0</v>
      </c>
      <c r="M36" s="213"/>
      <c r="N36" s="198"/>
      <c r="O36" s="199"/>
    </row>
    <row r="37">
      <c r="A37" s="198"/>
      <c r="B37" s="199"/>
      <c r="C37" s="209">
        <f t="shared" si="6"/>
        <v>46096</v>
      </c>
      <c r="D37" s="210">
        <f t="shared" si="2"/>
        <v>1</v>
      </c>
      <c r="E37" s="202" t="str">
        <f t="array" ref="E37">IF(MOD(M$9, 2) = 1, 
    IF(INDEX('Calendário'!$C$6:$C$36, ROW()-ROW($D$20)+1) &lt;&gt; "", 
        INDEX('Calendário'!$C$6:$C$36, ROW()-ROW($D$20)+1), 
        IF(OR(WEEKDAY(C37,2)=7, AND(WEEKDAY(C37,2)=6, MOD(SUMPRODUCT(--(WEEKDAY($C$20:C37,2)=6)),2)&lt;&gt;0)), 
           "Folga", 
           "")
    ),
    IF(INDEX('Calendário'!$C$6:$C$36, ROW()-ROW($D$20)+1) &lt;&gt; "", 
        INDEX('Calendário'!$C$6:$C$36, ROW()-ROW($D$20)+1), 
        IF(OR(WEEKDAY(C37,2)=7, AND(WEEKDAY(C37,2)=6, MOD(SUMPRODUCT(--(WEEKDAY($C$20:C37,2)=6)),2)=0)), 
           "Folga", 
           "")
    )
)
</f>
        <v>Folga</v>
      </c>
      <c r="F37" s="214"/>
      <c r="G37" s="211"/>
      <c r="H37" s="211"/>
      <c r="I37" s="211"/>
      <c r="J37" s="205">
        <f t="shared" si="3"/>
        <v>0</v>
      </c>
      <c r="K37" s="212">
        <f t="shared" si="4"/>
        <v>0</v>
      </c>
      <c r="L37" s="207">
        <f t="shared" si="5"/>
        <v>0</v>
      </c>
      <c r="M37" s="213"/>
      <c r="N37" s="198"/>
      <c r="O37" s="199"/>
    </row>
    <row r="38">
      <c r="A38" s="198"/>
      <c r="B38" s="199"/>
      <c r="C38" s="209">
        <f t="shared" si="6"/>
        <v>46097</v>
      </c>
      <c r="D38" s="210">
        <f t="shared" si="2"/>
        <v>2</v>
      </c>
      <c r="E38" s="202" t="str">
        <f t="array" ref="E38">IF(MOD(M$9, 2) = 1, 
    IF(INDEX('Calendário'!$C$6:$C$36, ROW()-ROW($D$20)+1) &lt;&gt; "", 
        INDEX('Calendário'!$C$6:$C$36, ROW()-ROW($D$20)+1), 
        IF(OR(WEEKDAY(C38,2)=7, AND(WEEKDAY(C38,2)=6, MOD(SUMPRODUCT(--(WEEKDAY($C$20:C38,2)=6)),2)&lt;&gt;0)), 
           "Folga", 
           "")
    ),
    IF(INDEX('Calendário'!$C$6:$C$36, ROW()-ROW($D$20)+1) &lt;&gt; "", 
        INDEX('Calendário'!$C$6:$C$36, ROW()-ROW($D$20)+1), 
        IF(OR(WEEKDAY(C38,2)=7, AND(WEEKDAY(C38,2)=6, MOD(SUMPRODUCT(--(WEEKDAY($C$20:C38,2)=6)),2)=0)), 
           "Folga", 
           "")
    )
)
</f>
        <v/>
      </c>
      <c r="F38" s="211"/>
      <c r="G38" s="214"/>
      <c r="H38" s="211"/>
      <c r="I38" s="211"/>
      <c r="J38" s="205">
        <f t="shared" si="3"/>
        <v>0</v>
      </c>
      <c r="K38" s="206">
        <f t="shared" si="4"/>
        <v>0</v>
      </c>
      <c r="L38" s="207">
        <f t="shared" si="5"/>
        <v>0</v>
      </c>
      <c r="M38" s="213"/>
      <c r="N38" s="198"/>
      <c r="O38" s="199"/>
    </row>
    <row r="39">
      <c r="A39" s="198"/>
      <c r="B39" s="199"/>
      <c r="C39" s="209">
        <f t="shared" si="6"/>
        <v>46098</v>
      </c>
      <c r="D39" s="210">
        <f t="shared" si="2"/>
        <v>3</v>
      </c>
      <c r="E39" s="202" t="str">
        <f t="array" ref="E39">IF(MOD(M$9, 2) = 1, 
    IF(INDEX('Calendário'!$C$6:$C$36, ROW()-ROW($D$20)+1) &lt;&gt; "", 
        INDEX('Calendário'!$C$6:$C$36, ROW()-ROW($D$20)+1), 
        IF(OR(WEEKDAY(C39,2)=7, AND(WEEKDAY(C39,2)=6, MOD(SUMPRODUCT(--(WEEKDAY($C$20:C39,2)=6)),2)&lt;&gt;0)), 
           "Folga", 
           "")
    ),
    IF(INDEX('Calendário'!$C$6:$C$36, ROW()-ROW($D$20)+1) &lt;&gt; "", 
        INDEX('Calendário'!$C$6:$C$36, ROW()-ROW($D$20)+1), 
        IF(OR(WEEKDAY(C39,2)=7, AND(WEEKDAY(C39,2)=6, MOD(SUMPRODUCT(--(WEEKDAY($C$20:C39,2)=6)),2)=0)), 
           "Folga", 
           "")
    )
)
</f>
        <v/>
      </c>
      <c r="F39" s="214"/>
      <c r="G39" s="211"/>
      <c r="H39" s="211"/>
      <c r="I39" s="211"/>
      <c r="J39" s="205">
        <f t="shared" si="3"/>
        <v>0</v>
      </c>
      <c r="K39" s="212">
        <f t="shared" si="4"/>
        <v>0</v>
      </c>
      <c r="L39" s="207">
        <f t="shared" si="5"/>
        <v>0</v>
      </c>
      <c r="M39" s="213"/>
      <c r="N39" s="198"/>
      <c r="O39" s="199"/>
    </row>
    <row r="40">
      <c r="A40" s="198"/>
      <c r="B40" s="199"/>
      <c r="C40" s="209">
        <f t="shared" si="6"/>
        <v>46099</v>
      </c>
      <c r="D40" s="210">
        <f t="shared" si="2"/>
        <v>4</v>
      </c>
      <c r="E40" s="202" t="str">
        <f t="array" ref="E40">IF(MOD(M$9, 2) = 1, 
    IF(INDEX('Calendário'!$C$6:$C$36, ROW()-ROW($D$20)+1) &lt;&gt; "", 
        INDEX('Calendário'!$C$6:$C$36, ROW()-ROW($D$20)+1), 
        IF(OR(WEEKDAY(C40,2)=7, AND(WEEKDAY(C40,2)=6, MOD(SUMPRODUCT(--(WEEKDAY($C$20:C40,2)=6)),2)&lt;&gt;0)), 
           "Folga", 
           "")
    ),
    IF(INDEX('Calendário'!$C$6:$C$36, ROW()-ROW($D$20)+1) &lt;&gt; "", 
        INDEX('Calendário'!$C$6:$C$36, ROW()-ROW($D$20)+1), 
        IF(OR(WEEKDAY(C40,2)=7, AND(WEEKDAY(C40,2)=6, MOD(SUMPRODUCT(--(WEEKDAY($C$20:C40,2)=6)),2)=0)), 
           "Folga", 
           "")
    )
)
</f>
        <v/>
      </c>
      <c r="F40" s="211"/>
      <c r="G40" s="211"/>
      <c r="H40" s="211"/>
      <c r="I40" s="211"/>
      <c r="J40" s="205">
        <f t="shared" si="3"/>
        <v>0</v>
      </c>
      <c r="K40" s="206">
        <f t="shared" si="4"/>
        <v>0</v>
      </c>
      <c r="L40" s="207">
        <f t="shared" si="5"/>
        <v>0</v>
      </c>
      <c r="M40" s="213"/>
      <c r="N40" s="198"/>
      <c r="O40" s="199"/>
    </row>
    <row r="41">
      <c r="A41" s="198"/>
      <c r="B41" s="199"/>
      <c r="C41" s="209">
        <f t="shared" si="6"/>
        <v>46100</v>
      </c>
      <c r="D41" s="210">
        <f t="shared" si="2"/>
        <v>5</v>
      </c>
      <c r="E41" s="202" t="str">
        <f t="array" ref="E41">IF(MOD(M$9, 2) = 1, 
    IF(INDEX('Calendário'!$C$6:$C$36, ROW()-ROW($D$20)+1) &lt;&gt; "", 
        INDEX('Calendário'!$C$6:$C$36, ROW()-ROW($D$20)+1), 
        IF(OR(WEEKDAY(C41,2)=7, AND(WEEKDAY(C41,2)=6, MOD(SUMPRODUCT(--(WEEKDAY($C$20:C41,2)=6)),2)&lt;&gt;0)), 
           "Folga", 
           "")
    ),
    IF(INDEX('Calendário'!$C$6:$C$36, ROW()-ROW($D$20)+1) &lt;&gt; "", 
        INDEX('Calendário'!$C$6:$C$36, ROW()-ROW($D$20)+1), 
        IF(OR(WEEKDAY(C41,2)=7, AND(WEEKDAY(C41,2)=6, MOD(SUMPRODUCT(--(WEEKDAY($C$20:C41,2)=6)),2)=0)), 
           "Folga", 
           "")
    )
)
</f>
        <v/>
      </c>
      <c r="F41" s="214"/>
      <c r="G41" s="211"/>
      <c r="H41" s="211"/>
      <c r="I41" s="214"/>
      <c r="J41" s="205">
        <f t="shared" si="3"/>
        <v>0</v>
      </c>
      <c r="K41" s="212">
        <f t="shared" si="4"/>
        <v>0</v>
      </c>
      <c r="L41" s="207">
        <f t="shared" si="5"/>
        <v>0</v>
      </c>
      <c r="M41" s="213"/>
      <c r="N41" s="198"/>
      <c r="O41" s="199"/>
    </row>
    <row r="42">
      <c r="A42" s="198"/>
      <c r="B42" s="199"/>
      <c r="C42" s="209">
        <f t="shared" si="6"/>
        <v>46101</v>
      </c>
      <c r="D42" s="210">
        <f t="shared" si="2"/>
        <v>6</v>
      </c>
      <c r="E42" s="202" t="str">
        <f t="array" ref="E42">IF(MOD(M$9, 2) = 1, 
    IF(INDEX('Calendário'!$C$6:$C$36, ROW()-ROW($D$20)+1) &lt;&gt; "", 
        INDEX('Calendário'!$C$6:$C$36, ROW()-ROW($D$20)+1), 
        IF(OR(WEEKDAY(C42,2)=7, AND(WEEKDAY(C42,2)=6, MOD(SUMPRODUCT(--(WEEKDAY($C$20:C42,2)=6)),2)&lt;&gt;0)), 
           "Folga", 
           "")
    ),
    IF(INDEX('Calendário'!$C$6:$C$36, ROW()-ROW($D$20)+1) &lt;&gt; "", 
        INDEX('Calendário'!$C$6:$C$36, ROW()-ROW($D$20)+1), 
        IF(OR(WEEKDAY(C42,2)=7, AND(WEEKDAY(C42,2)=6, MOD(SUMPRODUCT(--(WEEKDAY($C$20:C42,2)=6)),2)=0)), 
           "Folga", 
           "")
    )
)
</f>
        <v/>
      </c>
      <c r="F42" s="214"/>
      <c r="G42" s="211"/>
      <c r="H42" s="211"/>
      <c r="I42" s="214"/>
      <c r="J42" s="205">
        <f t="shared" si="3"/>
        <v>0</v>
      </c>
      <c r="K42" s="206">
        <f t="shared" si="4"/>
        <v>0</v>
      </c>
      <c r="L42" s="207">
        <f t="shared" si="5"/>
        <v>0</v>
      </c>
      <c r="M42" s="213"/>
      <c r="N42" s="198"/>
      <c r="O42" s="199"/>
    </row>
    <row r="43">
      <c r="A43" s="198"/>
      <c r="B43" s="199"/>
      <c r="C43" s="209">
        <f t="shared" si="6"/>
        <v>46102</v>
      </c>
      <c r="D43" s="210">
        <f t="shared" si="2"/>
        <v>7</v>
      </c>
      <c r="E43" s="202" t="str">
        <f t="array" ref="E43">IF(MOD(M$9, 2) = 1, 
    IF(INDEX('Calendário'!$C$6:$C$36, ROW()-ROW($D$20)+1) &lt;&gt; "", 
        INDEX('Calendário'!$C$6:$C$36, ROW()-ROW($D$20)+1), 
        IF(OR(WEEKDAY(C43,2)=7, AND(WEEKDAY(C43,2)=6, MOD(SUMPRODUCT(--(WEEKDAY($C$20:C43,2)=6)),2)&lt;&gt;0)), 
           "Folga", 
           "")
    ),
    IF(INDEX('Calendário'!$C$6:$C$36, ROW()-ROW($D$20)+1) &lt;&gt; "", 
        INDEX('Calendário'!$C$6:$C$36, ROW()-ROW($D$20)+1), 
        IF(OR(WEEKDAY(C43,2)=7, AND(WEEKDAY(C43,2)=6, MOD(SUMPRODUCT(--(WEEKDAY($C$20:C43,2)=6)),2)=0)), 
           "Folga", 
           "")
    )
)
</f>
        <v>Folga</v>
      </c>
      <c r="F43" s="214"/>
      <c r="G43" s="214"/>
      <c r="H43" s="214"/>
      <c r="I43" s="214"/>
      <c r="J43" s="205">
        <f t="shared" si="3"/>
        <v>0</v>
      </c>
      <c r="K43" s="212">
        <f t="shared" si="4"/>
        <v>0</v>
      </c>
      <c r="L43" s="207">
        <f t="shared" si="5"/>
        <v>0</v>
      </c>
      <c r="M43" s="213"/>
      <c r="N43" s="198"/>
      <c r="O43" s="199"/>
    </row>
    <row r="44">
      <c r="A44" s="198"/>
      <c r="B44" s="199"/>
      <c r="C44" s="209">
        <f t="shared" si="6"/>
        <v>46103</v>
      </c>
      <c r="D44" s="210">
        <f t="shared" si="2"/>
        <v>1</v>
      </c>
      <c r="E44" s="202" t="str">
        <f t="array" ref="E44">IF(MOD(M$9, 2) = 1, 
    IF(INDEX('Calendário'!$C$6:$C$36, ROW()-ROW($D$20)+1) &lt;&gt; "", 
        INDEX('Calendário'!$C$6:$C$36, ROW()-ROW($D$20)+1), 
        IF(OR(WEEKDAY(C44,2)=7, AND(WEEKDAY(C44,2)=6, MOD(SUMPRODUCT(--(WEEKDAY($C$20:C44,2)=6)),2)&lt;&gt;0)), 
           "Folga", 
           "")
    ),
    IF(INDEX('Calendário'!$C$6:$C$36, ROW()-ROW($D$20)+1) &lt;&gt; "", 
        INDEX('Calendário'!$C$6:$C$36, ROW()-ROW($D$20)+1), 
        IF(OR(WEEKDAY(C44,2)=7, AND(WEEKDAY(C44,2)=6, MOD(SUMPRODUCT(--(WEEKDAY($C$20:C44,2)=6)),2)=0)), 
           "Folga", 
           "")
    )
)
</f>
        <v>Folga</v>
      </c>
      <c r="F44" s="214"/>
      <c r="G44" s="211"/>
      <c r="H44" s="211"/>
      <c r="I44" s="211"/>
      <c r="J44" s="205">
        <f t="shared" si="3"/>
        <v>0</v>
      </c>
      <c r="K44" s="206">
        <f t="shared" si="4"/>
        <v>0</v>
      </c>
      <c r="L44" s="207">
        <f t="shared" si="5"/>
        <v>0</v>
      </c>
      <c r="M44" s="213"/>
      <c r="N44" s="198"/>
      <c r="O44" s="199"/>
    </row>
    <row r="45">
      <c r="A45" s="198"/>
      <c r="B45" s="199"/>
      <c r="C45" s="209">
        <f t="shared" si="6"/>
        <v>46104</v>
      </c>
      <c r="D45" s="210">
        <f t="shared" si="2"/>
        <v>2</v>
      </c>
      <c r="E45" s="202" t="str">
        <f t="array" ref="E45">IF(MOD(M$9, 2) = 1, 
    IF(INDEX('Calendário'!$C$6:$C$36, ROW()-ROW($D$20)+1) &lt;&gt; "", 
        INDEX('Calendário'!$C$6:$C$36, ROW()-ROW($D$20)+1), 
        IF(OR(WEEKDAY(C45,2)=7, AND(WEEKDAY(C45,2)=6, MOD(SUMPRODUCT(--(WEEKDAY($C$20:C45,2)=6)),2)&lt;&gt;0)), 
           "Folga", 
           "")
    ),
    IF(INDEX('Calendário'!$C$6:$C$36, ROW()-ROW($D$20)+1) &lt;&gt; "", 
        INDEX('Calendário'!$C$6:$C$36, ROW()-ROW($D$20)+1), 
        IF(OR(WEEKDAY(C45,2)=7, AND(WEEKDAY(C45,2)=6, MOD(SUMPRODUCT(--(WEEKDAY($C$20:C45,2)=6)),2)=0)), 
           "Folga", 
           "")
    )
)
</f>
        <v/>
      </c>
      <c r="F45" s="211"/>
      <c r="G45" s="214"/>
      <c r="H45" s="211"/>
      <c r="I45" s="211"/>
      <c r="J45" s="205">
        <f t="shared" si="3"/>
        <v>0</v>
      </c>
      <c r="K45" s="212">
        <f t="shared" si="4"/>
        <v>0</v>
      </c>
      <c r="L45" s="207">
        <f t="shared" si="5"/>
        <v>0</v>
      </c>
      <c r="M45" s="213"/>
      <c r="N45" s="198"/>
      <c r="O45" s="199"/>
    </row>
    <row r="46">
      <c r="A46" s="198"/>
      <c r="B46" s="199"/>
      <c r="C46" s="209">
        <f t="shared" si="6"/>
        <v>46105</v>
      </c>
      <c r="D46" s="210">
        <f t="shared" si="2"/>
        <v>3</v>
      </c>
      <c r="E46" s="202" t="str">
        <f t="array" ref="E46">IF(MOD(M$9, 2) = 1, 
    IF(INDEX('Calendário'!$C$6:$C$36, ROW()-ROW($D$20)+1) &lt;&gt; "", 
        INDEX('Calendário'!$C$6:$C$36, ROW()-ROW($D$20)+1), 
        IF(OR(WEEKDAY(C46,2)=7, AND(WEEKDAY(C46,2)=6, MOD(SUMPRODUCT(--(WEEKDAY($C$20:C46,2)=6)),2)&lt;&gt;0)), 
           "Folga", 
           "")
    ),
    IF(INDEX('Calendário'!$C$6:$C$36, ROW()-ROW($D$20)+1) &lt;&gt; "", 
        INDEX('Calendário'!$C$6:$C$36, ROW()-ROW($D$20)+1), 
        IF(OR(WEEKDAY(C46,2)=7, AND(WEEKDAY(C46,2)=6, MOD(SUMPRODUCT(--(WEEKDAY($C$20:C46,2)=6)),2)=0)), 
           "Folga", 
           "")
    )
)
</f>
        <v/>
      </c>
      <c r="F46" s="214"/>
      <c r="G46" s="214"/>
      <c r="H46" s="214"/>
      <c r="I46" s="211"/>
      <c r="J46" s="205">
        <f t="shared" si="3"/>
        <v>0</v>
      </c>
      <c r="K46" s="206">
        <f t="shared" si="4"/>
        <v>0</v>
      </c>
      <c r="L46" s="207">
        <f t="shared" si="5"/>
        <v>0</v>
      </c>
      <c r="M46" s="213"/>
      <c r="N46" s="198"/>
      <c r="O46" s="199"/>
    </row>
    <row r="47">
      <c r="A47" s="198"/>
      <c r="B47" s="199"/>
      <c r="C47" s="209">
        <f t="shared" si="6"/>
        <v>46106</v>
      </c>
      <c r="D47" s="210">
        <f t="shared" si="2"/>
        <v>4</v>
      </c>
      <c r="E47" s="202" t="str">
        <f t="array" ref="E47">IF(MOD(M$9, 2) = 1, 
    IF(INDEX('Calendário'!$C$6:$C$36, ROW()-ROW($D$20)+1) &lt;&gt; "", 
        INDEX('Calendário'!$C$6:$C$36, ROW()-ROW($D$20)+1), 
        IF(OR(WEEKDAY(C47,2)=7, AND(WEEKDAY(C47,2)=6, MOD(SUMPRODUCT(--(WEEKDAY($C$20:C47,2)=6)),2)&lt;&gt;0)), 
           "Folga", 
           "")
    ),
    IF(INDEX('Calendário'!$C$6:$C$36, ROW()-ROW($D$20)+1) &lt;&gt; "", 
        INDEX('Calendário'!$C$6:$C$36, ROW()-ROW($D$20)+1), 
        IF(OR(WEEKDAY(C47,2)=7, AND(WEEKDAY(C47,2)=6, MOD(SUMPRODUCT(--(WEEKDAY($C$20:C47,2)=6)),2)=0)), 
           "Folga", 
           "")
    )
)
</f>
        <v/>
      </c>
      <c r="F47" s="214"/>
      <c r="G47" s="214"/>
      <c r="H47" s="214"/>
      <c r="I47" s="211"/>
      <c r="J47" s="205">
        <f t="shared" si="3"/>
        <v>0</v>
      </c>
      <c r="K47" s="212">
        <f t="shared" si="4"/>
        <v>0</v>
      </c>
      <c r="L47" s="207">
        <f t="shared" si="5"/>
        <v>0</v>
      </c>
      <c r="M47" s="213"/>
      <c r="N47" s="198"/>
      <c r="O47" s="199"/>
    </row>
    <row r="48">
      <c r="A48" s="198"/>
      <c r="B48" s="199"/>
      <c r="C48" s="209">
        <f t="shared" si="6"/>
        <v>46107</v>
      </c>
      <c r="D48" s="210">
        <f t="shared" si="2"/>
        <v>5</v>
      </c>
      <c r="E48" s="202" t="str">
        <f t="array" ref="E48">IF(MOD(M$9, 2) = 1, 
    IF(INDEX('Calendário'!$C$6:$C$36, ROW()-ROW($D$20)+1) &lt;&gt; "", 
        INDEX('Calendário'!$C$6:$C$36, ROW()-ROW($D$20)+1), 
        IF(OR(WEEKDAY(C48,2)=7, AND(WEEKDAY(C48,2)=6, MOD(SUMPRODUCT(--(WEEKDAY($C$20:C48,2)=6)),2)&lt;&gt;0)), 
           "Folga", 
           "")
    ),
    IF(INDEX('Calendário'!$C$6:$C$36, ROW()-ROW($D$20)+1) &lt;&gt; "", 
        INDEX('Calendário'!$C$6:$C$36, ROW()-ROW($D$20)+1), 
        IF(OR(WEEKDAY(C48,2)=7, AND(WEEKDAY(C48,2)=6, MOD(SUMPRODUCT(--(WEEKDAY($C$20:C48,2)=6)),2)=0)), 
           "Folga", 
           "")
    )
)
</f>
        <v/>
      </c>
      <c r="F48" s="211"/>
      <c r="G48" s="214"/>
      <c r="H48" s="214"/>
      <c r="I48" s="211"/>
      <c r="J48" s="205">
        <f t="shared" si="3"/>
        <v>0</v>
      </c>
      <c r="K48" s="206">
        <f t="shared" si="4"/>
        <v>0</v>
      </c>
      <c r="L48" s="207">
        <f t="shared" si="5"/>
        <v>0</v>
      </c>
      <c r="M48" s="213"/>
      <c r="N48" s="198"/>
      <c r="O48" s="199"/>
    </row>
    <row r="49">
      <c r="A49" s="198"/>
      <c r="B49" s="199"/>
      <c r="C49" s="209">
        <f t="shared" si="6"/>
        <v>46108</v>
      </c>
      <c r="D49" s="210">
        <f t="shared" si="2"/>
        <v>6</v>
      </c>
      <c r="E49" s="202" t="str">
        <f t="array" ref="E49">IF(MOD(M$9, 2) = 1, 
    IF(INDEX('Calendário'!$C$6:$C$36, ROW()-ROW($D$20)+1) &lt;&gt; "", 
        INDEX('Calendário'!$C$6:$C$36, ROW()-ROW($D$20)+1), 
        IF(OR(WEEKDAY(C49,2)=7, AND(WEEKDAY(C49,2)=6, MOD(SUMPRODUCT(--(WEEKDAY($C$20:C49,2)=6)),2)&lt;&gt;0)), 
           "Folga", 
           "")
    ),
    IF(INDEX('Calendário'!$C$6:$C$36, ROW()-ROW($D$20)+1) &lt;&gt; "", 
        INDEX('Calendário'!$C$6:$C$36, ROW()-ROW($D$20)+1), 
        IF(OR(WEEKDAY(C49,2)=7, AND(WEEKDAY(C49,2)=6, MOD(SUMPRODUCT(--(WEEKDAY($C$20:C49,2)=6)),2)=0)), 
           "Folga", 
           "")
    )
)
</f>
        <v/>
      </c>
      <c r="F49" s="214"/>
      <c r="G49" s="214"/>
      <c r="H49" s="214"/>
      <c r="I49" s="211"/>
      <c r="J49" s="205">
        <f t="shared" si="3"/>
        <v>0</v>
      </c>
      <c r="K49" s="212">
        <f t="shared" si="4"/>
        <v>0</v>
      </c>
      <c r="L49" s="207">
        <f t="shared" si="5"/>
        <v>0</v>
      </c>
      <c r="M49" s="213"/>
      <c r="N49" s="198"/>
      <c r="O49" s="199"/>
    </row>
    <row r="50">
      <c r="A50" s="198"/>
      <c r="B50" s="199"/>
      <c r="C50" s="209">
        <f t="shared" si="6"/>
        <v>46109</v>
      </c>
      <c r="D50" s="210">
        <f t="shared" si="2"/>
        <v>7</v>
      </c>
      <c r="E50" s="202" t="str">
        <f t="array" ref="E50">IF(MOD(M$9, 2) = 1, 
    IF(INDEX('Calendário'!$C$6:$C$36, ROW()-ROW($D$20)+1) &lt;&gt; "", 
        INDEX('Calendário'!$C$6:$C$36, ROW()-ROW($D$20)+1), 
        IF(OR(WEEKDAY(C50,2)=7, AND(WEEKDAY(C50,2)=6, MOD(SUMPRODUCT(--(WEEKDAY($C$20:C50,2)=6)),2)&lt;&gt;0)), 
           "Folga", 
           "")
    ),
    IF(INDEX('Calendário'!$C$6:$C$36, ROW()-ROW($D$20)+1) &lt;&gt; "", 
        INDEX('Calendário'!$C$6:$C$36, ROW()-ROW($D$20)+1), 
        IF(OR(WEEKDAY(C50,2)=7, AND(WEEKDAY(C50,2)=6, MOD(SUMPRODUCT(--(WEEKDAY($C$20:C50,2)=6)),2)=0)), 
           "Folga", 
           "")
    )
)
</f>
        <v/>
      </c>
      <c r="F50" s="214"/>
      <c r="G50" s="211"/>
      <c r="H50" s="211"/>
      <c r="I50" s="211"/>
      <c r="J50" s="205">
        <f t="shared" si="3"/>
        <v>0</v>
      </c>
      <c r="K50" s="206">
        <f t="shared" si="4"/>
        <v>0</v>
      </c>
      <c r="L50" s="207">
        <f t="shared" si="5"/>
        <v>0</v>
      </c>
      <c r="M50" s="213"/>
      <c r="N50" s="198"/>
      <c r="O50" s="199"/>
    </row>
    <row r="51">
      <c r="A51" s="156"/>
      <c r="B51" s="155"/>
      <c r="C51" s="215"/>
      <c r="D51" s="215"/>
      <c r="E51" s="215"/>
      <c r="F51" s="215"/>
      <c r="G51" s="215"/>
      <c r="H51" s="215"/>
      <c r="I51" s="215"/>
      <c r="J51" s="215"/>
      <c r="K51" s="216"/>
      <c r="L51" s="215"/>
      <c r="M51" s="215"/>
      <c r="N51" s="156"/>
      <c r="O51" s="155"/>
    </row>
    <row r="52">
      <c r="A52" s="156"/>
      <c r="B52" s="155"/>
      <c r="C52" s="155"/>
      <c r="D52" s="155"/>
      <c r="E52" s="155"/>
      <c r="F52" s="155"/>
      <c r="G52" s="155"/>
      <c r="H52" s="155"/>
      <c r="I52" s="155"/>
      <c r="J52" s="155"/>
      <c r="K52" s="155"/>
      <c r="L52" s="155"/>
      <c r="M52" s="155"/>
      <c r="N52" s="156"/>
      <c r="O52" s="155"/>
    </row>
    <row r="53">
      <c r="A53" s="156"/>
      <c r="B53" s="155"/>
      <c r="C53" s="155"/>
      <c r="D53" s="155"/>
      <c r="E53" s="155"/>
      <c r="F53" s="155"/>
      <c r="G53" s="155"/>
      <c r="H53" s="155"/>
      <c r="I53" s="155"/>
      <c r="J53" s="155"/>
      <c r="K53" s="155"/>
      <c r="L53" s="155"/>
      <c r="M53" s="155"/>
      <c r="N53" s="156"/>
      <c r="O53" s="155"/>
    </row>
    <row r="54">
      <c r="A54" s="156"/>
      <c r="B54" s="217"/>
      <c r="C54" s="217"/>
      <c r="D54" s="217"/>
      <c r="E54" s="217"/>
      <c r="F54" s="217"/>
      <c r="G54" s="217"/>
      <c r="H54" s="217"/>
      <c r="I54" s="217"/>
      <c r="J54" s="217"/>
      <c r="K54" s="217"/>
      <c r="L54" s="217"/>
      <c r="M54" s="217"/>
      <c r="N54" s="218"/>
      <c r="O54" s="155"/>
    </row>
    <row r="55">
      <c r="A55" s="155"/>
      <c r="B55" s="155"/>
      <c r="C55" s="155"/>
      <c r="D55" s="155"/>
      <c r="E55" s="155"/>
      <c r="F55" s="155"/>
      <c r="G55" s="155"/>
      <c r="H55" s="155"/>
      <c r="I55" s="155"/>
      <c r="J55" s="155"/>
      <c r="K55" s="155"/>
      <c r="L55" s="155"/>
      <c r="M55" s="155"/>
      <c r="N55" s="155"/>
      <c r="O55" s="155"/>
    </row>
    <row r="56">
      <c r="A56" s="155"/>
      <c r="B56" s="155"/>
      <c r="C56" s="155"/>
      <c r="D56" s="155"/>
      <c r="E56" s="155"/>
      <c r="F56" s="155"/>
      <c r="G56" s="155"/>
      <c r="H56" s="155"/>
      <c r="I56" s="155"/>
      <c r="J56" s="155"/>
      <c r="K56" s="155"/>
      <c r="L56" s="155"/>
      <c r="M56" s="155"/>
      <c r="N56" s="155"/>
      <c r="O56" s="155"/>
    </row>
    <row r="57">
      <c r="A57" s="155"/>
      <c r="B57" s="155"/>
      <c r="C57" s="155"/>
      <c r="D57" s="155"/>
      <c r="E57" s="155"/>
      <c r="F57" s="155"/>
      <c r="G57" s="155"/>
      <c r="H57" s="155"/>
      <c r="I57" s="155"/>
      <c r="J57" s="155"/>
      <c r="K57" s="155"/>
      <c r="L57" s="155"/>
      <c r="M57" s="155"/>
      <c r="N57" s="155"/>
      <c r="O57" s="155"/>
    </row>
    <row r="58">
      <c r="A58" s="155"/>
      <c r="B58" s="155"/>
      <c r="C58" s="155"/>
      <c r="D58" s="155"/>
      <c r="E58" s="155"/>
      <c r="F58" s="155"/>
      <c r="G58" s="155"/>
      <c r="H58" s="155"/>
      <c r="I58" s="155"/>
      <c r="J58" s="155"/>
      <c r="K58" s="155"/>
      <c r="L58" s="155"/>
      <c r="M58" s="155"/>
      <c r="N58" s="155"/>
      <c r="O58" s="155"/>
    </row>
    <row r="59">
      <c r="A59" s="155"/>
      <c r="B59" s="155"/>
      <c r="C59" s="155"/>
      <c r="D59" s="155"/>
      <c r="E59" s="155"/>
      <c r="F59" s="155"/>
      <c r="G59" s="155"/>
      <c r="H59" s="155"/>
      <c r="I59" s="155"/>
      <c r="J59" s="155"/>
      <c r="K59" s="155"/>
      <c r="L59" s="155"/>
      <c r="M59" s="155"/>
      <c r="N59" s="155"/>
      <c r="O59" s="155"/>
    </row>
  </sheetData>
  <mergeCells count="15">
    <mergeCell ref="L7:M7"/>
    <mergeCell ref="L10:M10"/>
    <mergeCell ref="C12:F12"/>
    <mergeCell ref="H12:I12"/>
    <mergeCell ref="H16:J16"/>
    <mergeCell ref="C18:E18"/>
    <mergeCell ref="F18:I18"/>
    <mergeCell ref="J18:L18"/>
    <mergeCell ref="C3:K4"/>
    <mergeCell ref="L3:M5"/>
    <mergeCell ref="H6:J6"/>
    <mergeCell ref="L6:M6"/>
    <mergeCell ref="H7:J7"/>
    <mergeCell ref="C8:F8"/>
    <mergeCell ref="H8:J8"/>
  </mergeCells>
  <printOptions gridLines="1" horizontalCentered="1"/>
  <pageMargins bottom="0.75" footer="0.0" header="0.0" left="0.7" right="0.7" top="0.75"/>
  <pageSetup fitToHeight="0" cellComments="atEnd" orientation="portrait" pageOrder="overThenDown"/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285F4"/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4.13"/>
    <col customWidth="1" min="2" max="2" width="7.5"/>
    <col customWidth="1" min="3" max="3" width="9.25"/>
    <col customWidth="1" min="4" max="4" width="25.38"/>
    <col customWidth="1" min="6" max="6" width="27.0"/>
    <col customWidth="1" min="7" max="7" width="22.0"/>
  </cols>
  <sheetData>
    <row r="1">
      <c r="A1" s="85"/>
      <c r="B1" s="219" t="s">
        <v>41</v>
      </c>
      <c r="E1" s="220"/>
      <c r="F1" s="221" t="s">
        <v>48</v>
      </c>
      <c r="H1" s="222"/>
      <c r="I1" s="221" t="s">
        <v>49</v>
      </c>
      <c r="K1" s="221"/>
      <c r="L1" s="221"/>
    </row>
    <row r="2">
      <c r="A2" s="85"/>
      <c r="B2" s="91">
        <f>E2</f>
        <v>46082</v>
      </c>
      <c r="C2" s="92"/>
      <c r="D2" s="92"/>
      <c r="E2" s="223">
        <f>DATE(L5, I5, 1)
</f>
        <v>46082</v>
      </c>
      <c r="F2" s="224">
        <f>IFERROR(DATE(YEAR(B2), MONTH(B2)-1, 26), "")
</f>
        <v>46079</v>
      </c>
      <c r="G2" s="224">
        <f>IFERROR(DATE(YEAR(B2), MONTH(B2), 25), "")
</f>
        <v>46106</v>
      </c>
      <c r="H2" s="149"/>
      <c r="I2" s="225"/>
      <c r="J2" s="225"/>
      <c r="K2" s="149"/>
      <c r="L2" s="149"/>
    </row>
    <row r="3">
      <c r="A3" s="85"/>
      <c r="B3" s="94"/>
      <c r="C3" s="94"/>
      <c r="D3" s="94"/>
      <c r="E3" s="226"/>
      <c r="F3" s="149"/>
      <c r="G3" s="227"/>
      <c r="H3" s="149"/>
      <c r="I3" s="225"/>
      <c r="J3" s="225"/>
      <c r="K3" s="149"/>
      <c r="L3" s="149"/>
    </row>
    <row r="4">
      <c r="A4" s="85"/>
      <c r="B4" s="228"/>
      <c r="C4" s="229"/>
      <c r="D4" s="229"/>
      <c r="E4" s="230"/>
      <c r="F4" s="149"/>
      <c r="G4" s="227"/>
      <c r="H4" s="149"/>
      <c r="I4" s="231" t="s">
        <v>50</v>
      </c>
      <c r="J4" s="231" t="s">
        <v>51</v>
      </c>
      <c r="K4" s="231" t="s">
        <v>52</v>
      </c>
      <c r="L4" s="148" t="s">
        <v>53</v>
      </c>
    </row>
    <row r="5">
      <c r="A5" s="232"/>
      <c r="B5" s="233" t="s">
        <v>54</v>
      </c>
      <c r="C5" s="234" t="s">
        <v>38</v>
      </c>
      <c r="D5" s="235" t="s">
        <v>55</v>
      </c>
      <c r="E5" s="87"/>
      <c r="F5" s="236" t="s">
        <v>38</v>
      </c>
      <c r="G5" s="237" t="s">
        <v>56</v>
      </c>
      <c r="H5" s="87"/>
      <c r="I5" s="238">
        <f>IF(K5 = "ANTES", MONTH(J5), IF(K5 = "DEPOIS", IF(MONTH(J5) = 12, 1, MONTH(J5) + 1), ""))
</f>
        <v>3</v>
      </c>
      <c r="J5" s="239">
        <f>TODAY()</f>
        <v>46099</v>
      </c>
      <c r="K5" s="240" t="str">
        <f>IF(DAY(J5) &lt; 26, "ANTES", "DEPOIS")
</f>
        <v>ANTES</v>
      </c>
      <c r="L5" s="85">
        <f>IF(K5 = "ANTES", YEAR(J5), IF(I5 = 1, YEAR(J5) + 1, YEAR(J5)))</f>
        <v>2026</v>
      </c>
    </row>
    <row r="6">
      <c r="A6" s="85"/>
      <c r="B6" s="241">
        <f>IFERROR(IF(F2&lt;=G2, F2, ""), "")
</f>
        <v>46079</v>
      </c>
      <c r="C6" s="242" t="str">
        <f t="shared" ref="C6:C36" si="1">IFERROR(IFS(MATCH(B6,INDIRECT("$G$6:$G"),0),"feriado"),"")</f>
        <v/>
      </c>
      <c r="D6" s="243">
        <f t="shared" ref="D6:D36" si="2">IF(B6="","",WEEKDAY(B6,1))</f>
        <v>5</v>
      </c>
      <c r="E6" s="87"/>
      <c r="F6" s="244" t="s">
        <v>57</v>
      </c>
      <c r="G6" s="245">
        <v>45292.0</v>
      </c>
      <c r="H6" s="246"/>
      <c r="I6" s="247" t="s">
        <v>58</v>
      </c>
      <c r="J6" s="248">
        <f>DATE(L5, 12, 26)
</f>
        <v>46382</v>
      </c>
      <c r="K6" s="249"/>
      <c r="L6" s="246"/>
    </row>
    <row r="7">
      <c r="A7" s="85"/>
      <c r="B7" s="241">
        <f t="shared" ref="B7:B36" si="3">IFERROR(IF(AND(B6+1 &lt;= G$2, B6+1 &gt;= F$2), B6+1, ""), "")
</f>
        <v>46080</v>
      </c>
      <c r="C7" s="242" t="str">
        <f t="shared" si="1"/>
        <v/>
      </c>
      <c r="D7" s="243">
        <f t="shared" si="2"/>
        <v>6</v>
      </c>
      <c r="E7" s="87"/>
      <c r="F7" s="250" t="s">
        <v>59</v>
      </c>
      <c r="G7" s="251">
        <v>45542.0</v>
      </c>
      <c r="H7" s="252"/>
      <c r="I7" s="247" t="s">
        <v>60</v>
      </c>
      <c r="J7" s="253">
        <f>DATE(L5, 1, 26)</f>
        <v>46048</v>
      </c>
      <c r="K7" s="254"/>
      <c r="L7" s="252"/>
    </row>
    <row r="8">
      <c r="A8" s="85"/>
      <c r="B8" s="241">
        <f t="shared" si="3"/>
        <v>46081</v>
      </c>
      <c r="C8" s="242" t="str">
        <f t="shared" si="1"/>
        <v/>
      </c>
      <c r="D8" s="243">
        <f t="shared" si="2"/>
        <v>7</v>
      </c>
      <c r="E8" s="87"/>
      <c r="F8" s="250" t="s">
        <v>61</v>
      </c>
      <c r="G8" s="251">
        <v>45598.0</v>
      </c>
      <c r="H8" s="255"/>
      <c r="I8" s="256" t="s">
        <v>62</v>
      </c>
      <c r="J8" s="257">
        <f>DATE(L5, 2, 26)
</f>
        <v>46079</v>
      </c>
      <c r="K8" s="258"/>
      <c r="L8" s="255"/>
    </row>
    <row r="9">
      <c r="A9" s="85"/>
      <c r="B9" s="241">
        <f t="shared" si="3"/>
        <v>46082</v>
      </c>
      <c r="C9" s="242" t="str">
        <f t="shared" si="1"/>
        <v/>
      </c>
      <c r="D9" s="243">
        <f t="shared" si="2"/>
        <v>1</v>
      </c>
      <c r="E9" s="87"/>
      <c r="F9" s="250" t="s">
        <v>63</v>
      </c>
      <c r="G9" s="251">
        <v>45611.0</v>
      </c>
      <c r="H9" s="255"/>
      <c r="I9" s="256" t="s">
        <v>64</v>
      </c>
      <c r="J9" s="259">
        <f>DATE(L5, 3, 26)
</f>
        <v>46107</v>
      </c>
      <c r="K9" s="258"/>
      <c r="L9" s="255"/>
    </row>
    <row r="10">
      <c r="A10" s="85"/>
      <c r="B10" s="241">
        <f t="shared" si="3"/>
        <v>46083</v>
      </c>
      <c r="C10" s="242" t="str">
        <f t="shared" si="1"/>
        <v/>
      </c>
      <c r="D10" s="243">
        <f t="shared" si="2"/>
        <v>2</v>
      </c>
      <c r="E10" s="87"/>
      <c r="F10" s="250" t="s">
        <v>65</v>
      </c>
      <c r="G10" s="251">
        <v>45651.0</v>
      </c>
      <c r="H10" s="255"/>
      <c r="I10" s="256" t="s">
        <v>66</v>
      </c>
      <c r="J10" s="253">
        <f>DATE(L5, 4, 26)
</f>
        <v>46138</v>
      </c>
      <c r="K10" s="258"/>
      <c r="L10" s="255"/>
    </row>
    <row r="11">
      <c r="A11" s="85"/>
      <c r="B11" s="241">
        <f t="shared" si="3"/>
        <v>46084</v>
      </c>
      <c r="C11" s="242" t="str">
        <f t="shared" si="1"/>
        <v/>
      </c>
      <c r="D11" s="243">
        <f t="shared" si="2"/>
        <v>3</v>
      </c>
      <c r="E11" s="87"/>
      <c r="F11" s="250" t="s">
        <v>67</v>
      </c>
      <c r="G11" s="251">
        <v>45577.0</v>
      </c>
      <c r="H11" s="260"/>
      <c r="I11" s="256" t="s">
        <v>68</v>
      </c>
      <c r="J11" s="253">
        <f>DATE(L5, 5, 26)
</f>
        <v>46168</v>
      </c>
      <c r="K11" s="261"/>
      <c r="L11" s="260"/>
    </row>
    <row r="12">
      <c r="A12" s="85"/>
      <c r="B12" s="241">
        <f t="shared" si="3"/>
        <v>46085</v>
      </c>
      <c r="C12" s="242" t="str">
        <f t="shared" si="1"/>
        <v/>
      </c>
      <c r="D12" s="243">
        <f t="shared" si="2"/>
        <v>4</v>
      </c>
      <c r="E12" s="87"/>
      <c r="F12" s="250"/>
      <c r="G12" s="251"/>
      <c r="H12" s="252"/>
      <c r="I12" s="256" t="s">
        <v>69</v>
      </c>
      <c r="J12" s="253">
        <f>DATE(L5, 6, 26)
</f>
        <v>46199</v>
      </c>
      <c r="K12" s="254"/>
      <c r="L12" s="252"/>
    </row>
    <row r="13">
      <c r="A13" s="85"/>
      <c r="B13" s="241">
        <f t="shared" si="3"/>
        <v>46086</v>
      </c>
      <c r="C13" s="242" t="str">
        <f t="shared" si="1"/>
        <v/>
      </c>
      <c r="D13" s="243">
        <f t="shared" si="2"/>
        <v>5</v>
      </c>
      <c r="E13" s="87"/>
      <c r="F13" s="250"/>
      <c r="G13" s="251"/>
      <c r="H13" s="255"/>
      <c r="I13" s="256" t="s">
        <v>70</v>
      </c>
      <c r="J13" s="253">
        <f>DATE(L5, 7, 26)
</f>
        <v>46229</v>
      </c>
      <c r="K13" s="258"/>
      <c r="L13" s="255"/>
    </row>
    <row r="14">
      <c r="A14" s="85"/>
      <c r="B14" s="241">
        <f t="shared" si="3"/>
        <v>46087</v>
      </c>
      <c r="C14" s="242" t="str">
        <f t="shared" si="1"/>
        <v/>
      </c>
      <c r="D14" s="243">
        <f t="shared" si="2"/>
        <v>6</v>
      </c>
      <c r="E14" s="87"/>
      <c r="F14" s="251"/>
      <c r="G14" s="251"/>
      <c r="H14" s="255"/>
      <c r="I14" s="256" t="s">
        <v>71</v>
      </c>
      <c r="J14" s="253">
        <f>DATE(L5, 8, 26)
</f>
        <v>46260</v>
      </c>
      <c r="K14" s="258"/>
      <c r="L14" s="255"/>
    </row>
    <row r="15">
      <c r="A15" s="85"/>
      <c r="B15" s="241">
        <f t="shared" si="3"/>
        <v>46088</v>
      </c>
      <c r="C15" s="242" t="str">
        <f t="shared" si="1"/>
        <v/>
      </c>
      <c r="D15" s="243">
        <f t="shared" si="2"/>
        <v>7</v>
      </c>
      <c r="E15" s="87"/>
      <c r="F15" s="251"/>
      <c r="G15" s="251"/>
      <c r="H15" s="255"/>
      <c r="I15" s="256" t="s">
        <v>72</v>
      </c>
      <c r="J15" s="262">
        <f>DATE(L5, 9, 26)
</f>
        <v>46291</v>
      </c>
      <c r="K15" s="258"/>
      <c r="L15" s="255"/>
    </row>
    <row r="16">
      <c r="A16" s="85"/>
      <c r="B16" s="241">
        <f t="shared" si="3"/>
        <v>46089</v>
      </c>
      <c r="C16" s="242" t="str">
        <f t="shared" si="1"/>
        <v/>
      </c>
      <c r="D16" s="243">
        <f t="shared" si="2"/>
        <v>1</v>
      </c>
      <c r="E16" s="87"/>
      <c r="F16" s="251"/>
      <c r="G16" s="251"/>
      <c r="H16" s="255"/>
      <c r="I16" s="256" t="s">
        <v>73</v>
      </c>
      <c r="J16" s="248">
        <f>DATE(L5, 10, 26)
</f>
        <v>46321</v>
      </c>
      <c r="K16" s="258"/>
      <c r="L16" s="255"/>
    </row>
    <row r="17">
      <c r="A17" s="85"/>
      <c r="B17" s="241">
        <f t="shared" si="3"/>
        <v>46090</v>
      </c>
      <c r="C17" s="242" t="str">
        <f t="shared" si="1"/>
        <v/>
      </c>
      <c r="D17" s="243">
        <f t="shared" si="2"/>
        <v>2</v>
      </c>
      <c r="E17" s="87"/>
      <c r="F17" s="251"/>
      <c r="G17" s="251"/>
      <c r="H17" s="255"/>
      <c r="I17" s="256" t="s">
        <v>74</v>
      </c>
      <c r="J17" s="248">
        <f>DATE(L5, 11, 26)
</f>
        <v>46352</v>
      </c>
      <c r="K17" s="258"/>
      <c r="L17" s="255"/>
    </row>
    <row r="18">
      <c r="A18" s="85"/>
      <c r="B18" s="241">
        <f t="shared" si="3"/>
        <v>46091</v>
      </c>
      <c r="C18" s="242" t="str">
        <f t="shared" si="1"/>
        <v/>
      </c>
      <c r="D18" s="243">
        <f t="shared" si="2"/>
        <v>3</v>
      </c>
      <c r="E18" s="87"/>
      <c r="F18" s="263"/>
      <c r="G18" s="263"/>
      <c r="H18" s="149"/>
      <c r="I18" s="149"/>
      <c r="J18" s="149"/>
      <c r="K18" s="149"/>
      <c r="L18" s="149"/>
    </row>
    <row r="19">
      <c r="A19" s="85"/>
      <c r="B19" s="241">
        <f t="shared" si="3"/>
        <v>46092</v>
      </c>
      <c r="C19" s="242" t="str">
        <f t="shared" si="1"/>
        <v/>
      </c>
      <c r="D19" s="243">
        <f t="shared" si="2"/>
        <v>4</v>
      </c>
      <c r="E19" s="87"/>
      <c r="F19" s="263"/>
      <c r="G19" s="263"/>
      <c r="H19" s="149"/>
      <c r="I19" s="149"/>
      <c r="J19" s="149"/>
      <c r="K19" s="149"/>
      <c r="L19" s="149"/>
    </row>
    <row r="20">
      <c r="A20" s="85"/>
      <c r="B20" s="241">
        <f t="shared" si="3"/>
        <v>46093</v>
      </c>
      <c r="C20" s="242" t="str">
        <f t="shared" si="1"/>
        <v/>
      </c>
      <c r="D20" s="243">
        <f t="shared" si="2"/>
        <v>5</v>
      </c>
      <c r="E20" s="87"/>
      <c r="F20" s="263"/>
      <c r="G20" s="263"/>
      <c r="H20" s="149"/>
      <c r="I20" s="149"/>
      <c r="J20" s="149"/>
      <c r="K20" s="149"/>
      <c r="L20" s="149"/>
    </row>
    <row r="21">
      <c r="A21" s="85"/>
      <c r="B21" s="241">
        <f t="shared" si="3"/>
        <v>46094</v>
      </c>
      <c r="C21" s="242" t="str">
        <f t="shared" si="1"/>
        <v/>
      </c>
      <c r="D21" s="243">
        <f t="shared" si="2"/>
        <v>6</v>
      </c>
      <c r="E21" s="87"/>
      <c r="F21" s="263"/>
      <c r="G21" s="263"/>
      <c r="H21" s="149"/>
      <c r="I21" s="149"/>
      <c r="J21" s="149"/>
      <c r="K21" s="149"/>
      <c r="L21" s="149"/>
    </row>
    <row r="22">
      <c r="A22" s="85"/>
      <c r="B22" s="241">
        <f t="shared" si="3"/>
        <v>46095</v>
      </c>
      <c r="C22" s="242" t="str">
        <f t="shared" si="1"/>
        <v/>
      </c>
      <c r="D22" s="243">
        <f t="shared" si="2"/>
        <v>7</v>
      </c>
      <c r="E22" s="87"/>
      <c r="F22" s="263"/>
      <c r="G22" s="263"/>
      <c r="H22" s="149"/>
      <c r="I22" s="149"/>
      <c r="J22" s="149"/>
      <c r="K22" s="149"/>
      <c r="L22" s="149"/>
    </row>
    <row r="23">
      <c r="A23" s="85"/>
      <c r="B23" s="241">
        <f t="shared" si="3"/>
        <v>46096</v>
      </c>
      <c r="C23" s="242" t="str">
        <f t="shared" si="1"/>
        <v/>
      </c>
      <c r="D23" s="243">
        <f t="shared" si="2"/>
        <v>1</v>
      </c>
      <c r="E23" s="87"/>
      <c r="F23" s="263"/>
      <c r="G23" s="263"/>
      <c r="H23" s="149"/>
      <c r="I23" s="149"/>
      <c r="J23" s="149"/>
      <c r="K23" s="149"/>
      <c r="L23" s="149"/>
    </row>
    <row r="24">
      <c r="A24" s="85"/>
      <c r="B24" s="241">
        <f t="shared" si="3"/>
        <v>46097</v>
      </c>
      <c r="C24" s="242" t="str">
        <f t="shared" si="1"/>
        <v/>
      </c>
      <c r="D24" s="243">
        <f t="shared" si="2"/>
        <v>2</v>
      </c>
      <c r="E24" s="87"/>
      <c r="F24" s="263"/>
      <c r="G24" s="263"/>
      <c r="H24" s="149"/>
      <c r="I24" s="149"/>
      <c r="J24" s="149"/>
      <c r="K24" s="149"/>
      <c r="L24" s="149"/>
    </row>
    <row r="25">
      <c r="A25" s="85"/>
      <c r="B25" s="241">
        <f t="shared" si="3"/>
        <v>46098</v>
      </c>
      <c r="C25" s="242" t="str">
        <f t="shared" si="1"/>
        <v/>
      </c>
      <c r="D25" s="243">
        <f t="shared" si="2"/>
        <v>3</v>
      </c>
      <c r="E25" s="87"/>
      <c r="F25" s="263"/>
      <c r="G25" s="263"/>
      <c r="H25" s="149"/>
      <c r="I25" s="149"/>
      <c r="J25" s="149"/>
      <c r="K25" s="149"/>
      <c r="L25" s="149"/>
    </row>
    <row r="26">
      <c r="A26" s="85"/>
      <c r="B26" s="241">
        <f t="shared" si="3"/>
        <v>46099</v>
      </c>
      <c r="C26" s="242" t="str">
        <f t="shared" si="1"/>
        <v/>
      </c>
      <c r="D26" s="243">
        <f t="shared" si="2"/>
        <v>4</v>
      </c>
      <c r="E26" s="87"/>
      <c r="F26" s="263"/>
      <c r="G26" s="263"/>
      <c r="H26" s="149"/>
      <c r="I26" s="149"/>
      <c r="J26" s="149"/>
      <c r="K26" s="149"/>
      <c r="L26" s="149"/>
    </row>
    <row r="27">
      <c r="A27" s="85"/>
      <c r="B27" s="241">
        <f t="shared" si="3"/>
        <v>46100</v>
      </c>
      <c r="C27" s="242" t="str">
        <f t="shared" si="1"/>
        <v/>
      </c>
      <c r="D27" s="243">
        <f t="shared" si="2"/>
        <v>5</v>
      </c>
      <c r="E27" s="87"/>
      <c r="F27" s="263"/>
      <c r="G27" s="263"/>
      <c r="H27" s="149"/>
      <c r="I27" s="149"/>
      <c r="J27" s="149"/>
      <c r="K27" s="149"/>
      <c r="L27" s="149"/>
    </row>
    <row r="28">
      <c r="A28" s="85"/>
      <c r="B28" s="241">
        <f t="shared" si="3"/>
        <v>46101</v>
      </c>
      <c r="C28" s="242" t="str">
        <f t="shared" si="1"/>
        <v/>
      </c>
      <c r="D28" s="243">
        <f t="shared" si="2"/>
        <v>6</v>
      </c>
      <c r="E28" s="87"/>
      <c r="F28" s="263"/>
      <c r="G28" s="263"/>
      <c r="H28" s="149"/>
      <c r="I28" s="149"/>
      <c r="J28" s="149"/>
      <c r="K28" s="149"/>
      <c r="L28" s="149"/>
    </row>
    <row r="29">
      <c r="A29" s="85"/>
      <c r="B29" s="241">
        <f t="shared" si="3"/>
        <v>46102</v>
      </c>
      <c r="C29" s="242" t="str">
        <f t="shared" si="1"/>
        <v/>
      </c>
      <c r="D29" s="243">
        <f t="shared" si="2"/>
        <v>7</v>
      </c>
      <c r="E29" s="87"/>
      <c r="F29" s="263"/>
      <c r="G29" s="263"/>
      <c r="H29" s="149"/>
      <c r="I29" s="149"/>
      <c r="J29" s="149"/>
      <c r="K29" s="149"/>
      <c r="L29" s="149"/>
    </row>
    <row r="30">
      <c r="A30" s="85"/>
      <c r="B30" s="241">
        <f t="shared" si="3"/>
        <v>46103</v>
      </c>
      <c r="C30" s="242" t="str">
        <f t="shared" si="1"/>
        <v/>
      </c>
      <c r="D30" s="243">
        <f t="shared" si="2"/>
        <v>1</v>
      </c>
      <c r="E30" s="87"/>
      <c r="F30" s="263"/>
      <c r="G30" s="263"/>
      <c r="H30" s="149"/>
      <c r="I30" s="149"/>
      <c r="J30" s="149"/>
      <c r="K30" s="149"/>
      <c r="L30" s="149"/>
    </row>
    <row r="31">
      <c r="A31" s="85"/>
      <c r="B31" s="241">
        <f t="shared" si="3"/>
        <v>46104</v>
      </c>
      <c r="C31" s="242" t="str">
        <f t="shared" si="1"/>
        <v/>
      </c>
      <c r="D31" s="243">
        <f t="shared" si="2"/>
        <v>2</v>
      </c>
      <c r="E31" s="87"/>
      <c r="F31" s="263"/>
      <c r="G31" s="263"/>
      <c r="H31" s="149"/>
      <c r="I31" s="149"/>
      <c r="J31" s="149"/>
      <c r="K31" s="149"/>
      <c r="L31" s="149"/>
    </row>
    <row r="32">
      <c r="A32" s="85"/>
      <c r="B32" s="241">
        <f t="shared" si="3"/>
        <v>46105</v>
      </c>
      <c r="C32" s="242" t="str">
        <f t="shared" si="1"/>
        <v/>
      </c>
      <c r="D32" s="243">
        <f t="shared" si="2"/>
        <v>3</v>
      </c>
      <c r="E32" s="87"/>
      <c r="F32" s="263"/>
      <c r="G32" s="263"/>
      <c r="H32" s="149"/>
      <c r="I32" s="149"/>
      <c r="J32" s="149"/>
      <c r="K32" s="149"/>
      <c r="L32" s="149"/>
    </row>
    <row r="33">
      <c r="A33" s="85"/>
      <c r="B33" s="241">
        <f t="shared" si="3"/>
        <v>46106</v>
      </c>
      <c r="C33" s="242" t="str">
        <f t="shared" si="1"/>
        <v/>
      </c>
      <c r="D33" s="243">
        <f t="shared" si="2"/>
        <v>4</v>
      </c>
      <c r="E33" s="87"/>
      <c r="F33" s="263"/>
      <c r="G33" s="263"/>
      <c r="H33" s="149"/>
      <c r="I33" s="149"/>
      <c r="J33" s="149"/>
      <c r="K33" s="149"/>
      <c r="L33" s="149"/>
    </row>
    <row r="34">
      <c r="A34" s="85"/>
      <c r="B34" s="241" t="str">
        <f t="shared" si="3"/>
        <v/>
      </c>
      <c r="C34" s="242" t="str">
        <f t="shared" si="1"/>
        <v/>
      </c>
      <c r="D34" s="243" t="str">
        <f t="shared" si="2"/>
        <v/>
      </c>
      <c r="E34" s="87"/>
      <c r="F34" s="263"/>
      <c r="G34" s="263"/>
      <c r="H34" s="149"/>
      <c r="I34" s="149"/>
      <c r="J34" s="149"/>
      <c r="K34" s="149"/>
      <c r="L34" s="149"/>
    </row>
    <row r="35">
      <c r="A35" s="85"/>
      <c r="B35" s="241" t="str">
        <f t="shared" si="3"/>
        <v/>
      </c>
      <c r="C35" s="242" t="str">
        <f t="shared" si="1"/>
        <v/>
      </c>
      <c r="D35" s="243" t="str">
        <f t="shared" si="2"/>
        <v/>
      </c>
      <c r="E35" s="87"/>
      <c r="F35" s="263"/>
      <c r="G35" s="263"/>
      <c r="H35" s="149"/>
      <c r="I35" s="149"/>
      <c r="J35" s="149"/>
      <c r="K35" s="149"/>
      <c r="L35" s="149"/>
    </row>
    <row r="36">
      <c r="A36" s="85"/>
      <c r="B36" s="241" t="str">
        <f t="shared" si="3"/>
        <v/>
      </c>
      <c r="C36" s="242" t="str">
        <f t="shared" si="1"/>
        <v/>
      </c>
      <c r="D36" s="243" t="str">
        <f t="shared" si="2"/>
        <v/>
      </c>
      <c r="E36" s="87"/>
      <c r="F36" s="263"/>
      <c r="G36" s="263"/>
      <c r="H36" s="149"/>
      <c r="I36" s="149"/>
      <c r="J36" s="149"/>
      <c r="K36" s="149"/>
      <c r="L36" s="149"/>
    </row>
    <row r="37">
      <c r="A37" s="85"/>
      <c r="B37" s="264"/>
      <c r="C37" s="265"/>
      <c r="D37" s="266"/>
      <c r="E37" s="87"/>
      <c r="F37" s="250"/>
      <c r="G37" s="251"/>
      <c r="H37" s="149"/>
      <c r="I37" s="149"/>
      <c r="J37" s="149"/>
      <c r="K37" s="149"/>
      <c r="L37" s="149"/>
    </row>
  </sheetData>
  <mergeCells count="4">
    <mergeCell ref="B1:D1"/>
    <mergeCell ref="F1:G1"/>
    <mergeCell ref="I1:J1"/>
    <mergeCell ref="B2:D3"/>
  </mergeCells>
  <drawing r:id="rId4"/>
  <legacyDrawing r:id="rId5"/>
  <tableParts count="2">
    <tablePart r:id="rId8"/>
    <tablePart r:id="rId9"/>
  </tableParts>
</worksheet>
</file>